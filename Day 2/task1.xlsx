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otro2\Desktop\PLSQL Training\"/>
    </mc:Choice>
  </mc:AlternateContent>
  <xr:revisionPtr revIDLastSave="0" documentId="8_{DFB78B84-5C1B-4329-8FF7-41323161EC6A}" xr6:coauthVersionLast="47" xr6:coauthVersionMax="47" xr10:uidLastSave="{00000000-0000-0000-0000-000000000000}"/>
  <bookViews>
    <workbookView xWindow="28680" yWindow="-120" windowWidth="29040" windowHeight="17520" xr2:uid="{D3F8AD67-8679-4E5F-A643-8CA5F7541917}"/>
  </bookViews>
  <sheets>
    <sheet name="New Dokument tekstowy" sheetId="2" r:id="rId1"/>
    <sheet name="Sheet1" sheetId="1" r:id="rId2"/>
  </sheets>
  <definedNames>
    <definedName name="ExternalData_1" localSheetId="0" hidden="1">'New Dokument tekstowy'!$A$1:$K$2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9" i="2" l="1"/>
  <c r="A19" i="2"/>
  <c r="U35" i="2"/>
  <c r="L34" i="2"/>
  <c r="M34" i="2"/>
  <c r="U34" i="2"/>
  <c r="T33" i="2"/>
  <c r="U33" i="2"/>
  <c r="H32" i="2"/>
  <c r="I32" i="2"/>
  <c r="K32" i="2"/>
  <c r="L32" i="2"/>
  <c r="M32" i="2"/>
  <c r="D31" i="2"/>
  <c r="D32" i="2" s="1"/>
  <c r="E31" i="2"/>
  <c r="F31" i="2"/>
  <c r="G31" i="2"/>
  <c r="H31" i="2"/>
  <c r="I31" i="2"/>
  <c r="I34" i="2" s="1"/>
  <c r="K31" i="2"/>
  <c r="K33" i="2" s="1"/>
  <c r="M31" i="2"/>
  <c r="M33" i="2" s="1"/>
  <c r="T31" i="2"/>
  <c r="T32" i="2" s="1"/>
  <c r="U31" i="2"/>
  <c r="U32" i="2" s="1"/>
  <c r="V31" i="2"/>
  <c r="V32" i="2" s="1"/>
  <c r="W31" i="2"/>
  <c r="W32" i="2" s="1"/>
  <c r="X31" i="2"/>
  <c r="X32" i="2" s="1"/>
  <c r="Y31" i="2"/>
  <c r="Y32" i="2" s="1"/>
  <c r="Z31" i="2"/>
  <c r="Z33" i="2" s="1"/>
  <c r="AA31" i="2"/>
  <c r="AB31" i="2"/>
  <c r="AC31" i="2"/>
  <c r="AB28" i="2"/>
  <c r="X27" i="2"/>
  <c r="M26" i="2"/>
  <c r="T26" i="2"/>
  <c r="Z26" i="2"/>
  <c r="Z28" i="2" s="1"/>
  <c r="AA26" i="2"/>
  <c r="AA28" i="2" s="1"/>
  <c r="M25" i="2"/>
  <c r="T25" i="2"/>
  <c r="W25" i="2"/>
  <c r="D24" i="2"/>
  <c r="D26" i="2" s="1"/>
  <c r="D28" i="2" s="1"/>
  <c r="E24" i="2"/>
  <c r="E26" i="2" s="1"/>
  <c r="F24" i="2"/>
  <c r="F25" i="2" s="1"/>
  <c r="G24" i="2"/>
  <c r="H24" i="2"/>
  <c r="I24" i="2"/>
  <c r="J24" i="2"/>
  <c r="K24" i="2"/>
  <c r="L24" i="2"/>
  <c r="M24" i="2"/>
  <c r="T24" i="2"/>
  <c r="W24" i="2"/>
  <c r="W26" i="2" s="1"/>
  <c r="X24" i="2"/>
  <c r="X26" i="2" s="1"/>
  <c r="X28" i="2" s="1"/>
  <c r="Y24" i="2"/>
  <c r="Y26" i="2" s="1"/>
  <c r="Z24" i="2"/>
  <c r="Z25" i="2" s="1"/>
  <c r="AA24" i="2"/>
  <c r="AA25" i="2" s="1"/>
  <c r="AB24" i="2"/>
  <c r="AB26" i="2" s="1"/>
  <c r="AC24" i="2"/>
  <c r="AD24" i="2"/>
  <c r="H18" i="2"/>
  <c r="I18" i="2"/>
  <c r="K18" i="2"/>
  <c r="L18" i="2"/>
  <c r="H17" i="2"/>
  <c r="H20" i="2" s="1"/>
  <c r="I17" i="2"/>
  <c r="I20" i="2" s="1"/>
  <c r="D16" i="2"/>
  <c r="E16" i="2"/>
  <c r="F16" i="2"/>
  <c r="G16" i="2"/>
  <c r="H16" i="2"/>
  <c r="I16" i="2"/>
  <c r="K16" i="2"/>
  <c r="L16" i="2"/>
  <c r="M16" i="2"/>
  <c r="T16" i="2"/>
  <c r="U16" i="2"/>
  <c r="W16" i="2"/>
  <c r="X16" i="2"/>
  <c r="Y16" i="2"/>
  <c r="Z16" i="2"/>
  <c r="AA16" i="2"/>
  <c r="AB16" i="2"/>
  <c r="AC16" i="2"/>
  <c r="D15" i="2"/>
  <c r="E15" i="2"/>
  <c r="F15" i="2"/>
  <c r="G15" i="2"/>
  <c r="H15" i="2"/>
  <c r="I15" i="2"/>
  <c r="J15" i="2"/>
  <c r="K15" i="2"/>
  <c r="L15" i="2"/>
  <c r="M15" i="2"/>
  <c r="W15" i="2"/>
  <c r="X15" i="2"/>
  <c r="Y15" i="2"/>
  <c r="AA15" i="2"/>
  <c r="AB15" i="2"/>
  <c r="AC15" i="2"/>
  <c r="D13" i="2"/>
  <c r="E13" i="2"/>
  <c r="F13" i="2"/>
  <c r="G13" i="2"/>
  <c r="H13" i="2"/>
  <c r="I13" i="2"/>
  <c r="K13" i="2"/>
  <c r="K34" i="2" s="1"/>
  <c r="L13" i="2"/>
  <c r="M13" i="2"/>
  <c r="T13" i="2"/>
  <c r="U13" i="2"/>
  <c r="W13" i="2"/>
  <c r="X13" i="2"/>
  <c r="Y13" i="2"/>
  <c r="Z13" i="2"/>
  <c r="AA13" i="2"/>
  <c r="AE13" i="2"/>
  <c r="AF13" i="2"/>
  <c r="AG13" i="2"/>
  <c r="E12" i="2"/>
  <c r="G12" i="2"/>
  <c r="G19" i="2" s="1"/>
  <c r="H12" i="2"/>
  <c r="H19" i="2" s="1"/>
  <c r="I12" i="2"/>
  <c r="I19" i="2" s="1"/>
  <c r="K12" i="2"/>
  <c r="K35" i="2" s="1"/>
  <c r="L12" i="2"/>
  <c r="M12" i="2"/>
  <c r="U12" i="2"/>
  <c r="W12" i="2"/>
  <c r="X12" i="2"/>
  <c r="Y12" i="2"/>
  <c r="Z12" i="2"/>
  <c r="AA12" i="2"/>
  <c r="AB12" i="2"/>
  <c r="AB19" i="2" s="1"/>
  <c r="AC12" i="2"/>
  <c r="G11" i="2"/>
  <c r="H11" i="2"/>
  <c r="I11" i="2"/>
  <c r="J11" i="2"/>
  <c r="K11" i="2"/>
  <c r="K17" i="2" s="1"/>
  <c r="K20" i="2" s="1"/>
  <c r="L11" i="2"/>
  <c r="L17" i="2" s="1"/>
  <c r="L20" i="2" s="1"/>
  <c r="M11" i="2"/>
  <c r="M17" i="2" s="1"/>
  <c r="W11" i="2"/>
  <c r="X11" i="2"/>
  <c r="Y11" i="2"/>
  <c r="AA11" i="2"/>
  <c r="AB11" i="2"/>
  <c r="AC11" i="2"/>
  <c r="AF11" i="2"/>
  <c r="AG11" i="2"/>
  <c r="B9" i="2"/>
  <c r="G9" i="2"/>
  <c r="H9" i="2"/>
  <c r="I9" i="2"/>
  <c r="K9" i="2"/>
  <c r="L9" i="2"/>
  <c r="W9" i="2"/>
  <c r="X9" i="2"/>
  <c r="Y9" i="2"/>
  <c r="Z9" i="2"/>
  <c r="Z27" i="2" s="1"/>
  <c r="AA9" i="2"/>
  <c r="AA17" i="2" s="1"/>
  <c r="AB9" i="2"/>
  <c r="AB17" i="2" s="1"/>
  <c r="AC9" i="2"/>
  <c r="AC17" i="2" s="1"/>
  <c r="AD9" i="2"/>
  <c r="D8" i="2"/>
  <c r="G8" i="2"/>
  <c r="H8" i="2"/>
  <c r="I8" i="2"/>
  <c r="K8" i="2"/>
  <c r="L8" i="2"/>
  <c r="M8" i="2"/>
  <c r="X8" i="2"/>
  <c r="Y8" i="2"/>
  <c r="Y17" i="2" s="1"/>
  <c r="AA8" i="2"/>
  <c r="AB8" i="2"/>
  <c r="AB27" i="2" s="1"/>
  <c r="AC8" i="2"/>
  <c r="AC27" i="2" s="1"/>
  <c r="D7" i="2"/>
  <c r="H7" i="2"/>
  <c r="I7" i="2"/>
  <c r="J7" i="2"/>
  <c r="K7" i="2"/>
  <c r="L7" i="2"/>
  <c r="M7" i="2"/>
  <c r="T7" i="2"/>
  <c r="U7" i="2"/>
  <c r="Z7" i="2"/>
  <c r="B5" i="2"/>
  <c r="C5" i="2"/>
  <c r="D5" i="2"/>
  <c r="E5" i="2"/>
  <c r="E11" i="2" s="1"/>
  <c r="F5" i="2"/>
  <c r="F11" i="2" s="1"/>
  <c r="G5" i="2"/>
  <c r="H5" i="2"/>
  <c r="I5" i="2"/>
  <c r="J5" i="2"/>
  <c r="K5" i="2"/>
  <c r="L5" i="2"/>
  <c r="L31" i="2" s="1"/>
  <c r="L33" i="2" s="1"/>
  <c r="M5" i="2"/>
  <c r="N5" i="2"/>
  <c r="O5" i="2"/>
  <c r="P5" i="2"/>
  <c r="Q5" i="2"/>
  <c r="R5" i="2"/>
  <c r="S5" i="2"/>
  <c r="T5" i="2"/>
  <c r="U5" i="2"/>
  <c r="U11" i="2" s="1"/>
  <c r="V5" i="2"/>
  <c r="W5" i="2"/>
  <c r="X5" i="2"/>
  <c r="Y5" i="2"/>
  <c r="Z5" i="2"/>
  <c r="Z11" i="2" s="1"/>
  <c r="AA5" i="2"/>
  <c r="AB5" i="2"/>
  <c r="AB13" i="2" s="1"/>
  <c r="AC5" i="2"/>
  <c r="AC13" i="2" s="1"/>
  <c r="AD5" i="2"/>
  <c r="AE5" i="2"/>
  <c r="AF5" i="2"/>
  <c r="AG5" i="2"/>
  <c r="B4" i="2"/>
  <c r="C4" i="2"/>
  <c r="C16" i="2" s="1"/>
  <c r="D4" i="2"/>
  <c r="D9" i="2" s="1"/>
  <c r="E4" i="2"/>
  <c r="F4" i="2"/>
  <c r="G4" i="2"/>
  <c r="G7" i="2" s="1"/>
  <c r="H4" i="2"/>
  <c r="I4" i="2"/>
  <c r="J4" i="2"/>
  <c r="J16" i="2" s="1"/>
  <c r="K4" i="2"/>
  <c r="L4" i="2"/>
  <c r="M4" i="2"/>
  <c r="M9" i="2" s="1"/>
  <c r="N4" i="2"/>
  <c r="O4" i="2"/>
  <c r="O15" i="2" s="1"/>
  <c r="P4" i="2"/>
  <c r="Q4" i="2"/>
  <c r="R4" i="2"/>
  <c r="S4" i="2"/>
  <c r="T4" i="2"/>
  <c r="U4" i="2"/>
  <c r="V4" i="2"/>
  <c r="W4" i="2"/>
  <c r="W7" i="2" s="1"/>
  <c r="X4" i="2"/>
  <c r="X7" i="2" s="1"/>
  <c r="Y4" i="2"/>
  <c r="Y7" i="2" s="1"/>
  <c r="Z4" i="2"/>
  <c r="Z8" i="2" s="1"/>
  <c r="AA4" i="2"/>
  <c r="AA7" i="2" s="1"/>
  <c r="AB4" i="2"/>
  <c r="AB7" i="2" s="1"/>
  <c r="AC4" i="2"/>
  <c r="AC7" i="2" s="1"/>
  <c r="AD4" i="2"/>
  <c r="AD7" i="2" s="1"/>
  <c r="AE4" i="2"/>
  <c r="AE7" i="2" s="1"/>
  <c r="AF4" i="2"/>
  <c r="AG4" i="2"/>
  <c r="AG7" i="2" s="1"/>
  <c r="A7" i="2"/>
  <c r="A5" i="2"/>
  <c r="A4" i="2"/>
  <c r="A24" i="2" s="1"/>
  <c r="G34" i="2" l="1"/>
  <c r="G18" i="2"/>
  <c r="S8" i="2"/>
  <c r="S16" i="2"/>
  <c r="S7" i="2"/>
  <c r="S24" i="2"/>
  <c r="S9" i="2"/>
  <c r="E32" i="2"/>
  <c r="E33" i="2"/>
  <c r="E35" i="2" s="1"/>
  <c r="AC20" i="2"/>
  <c r="H26" i="2"/>
  <c r="H28" i="2" s="1"/>
  <c r="H25" i="2"/>
  <c r="AG31" i="2"/>
  <c r="AG12" i="2"/>
  <c r="AA32" i="2"/>
  <c r="AA33" i="2"/>
  <c r="AF16" i="2"/>
  <c r="AF24" i="2"/>
  <c r="AF9" i="2"/>
  <c r="AF8" i="2"/>
  <c r="AF15" i="2"/>
  <c r="P31" i="2"/>
  <c r="P12" i="2"/>
  <c r="P13" i="2"/>
  <c r="AF7" i="2"/>
  <c r="AA19" i="2"/>
  <c r="AA35" i="2"/>
  <c r="AA34" i="2"/>
  <c r="AA18" i="2"/>
  <c r="AA20" i="2" s="1"/>
  <c r="O31" i="2"/>
  <c r="O12" i="2"/>
  <c r="O13" i="2"/>
  <c r="AC25" i="2"/>
  <c r="AC26" i="2"/>
  <c r="AC28" i="2" s="1"/>
  <c r="N9" i="2"/>
  <c r="N24" i="2"/>
  <c r="N7" i="2"/>
  <c r="N16" i="2"/>
  <c r="K25" i="2"/>
  <c r="K26" i="2"/>
  <c r="K28" i="2" s="1"/>
  <c r="G32" i="2"/>
  <c r="G33" i="2"/>
  <c r="G35" i="2" s="1"/>
  <c r="E34" i="2"/>
  <c r="E19" i="2"/>
  <c r="J25" i="2"/>
  <c r="J26" i="2"/>
  <c r="S11" i="2"/>
  <c r="S13" i="2"/>
  <c r="S12" i="2"/>
  <c r="S31" i="2"/>
  <c r="C11" i="2"/>
  <c r="C13" i="2"/>
  <c r="C12" i="2"/>
  <c r="C31" i="2"/>
  <c r="AC32" i="2"/>
  <c r="AC33" i="2"/>
  <c r="AC35" i="2" s="1"/>
  <c r="R15" i="2"/>
  <c r="R24" i="2"/>
  <c r="R8" i="2"/>
  <c r="R7" i="2"/>
  <c r="R9" i="2"/>
  <c r="R16" i="2"/>
  <c r="R12" i="2"/>
  <c r="R13" i="2"/>
  <c r="R31" i="2"/>
  <c r="R11" i="2"/>
  <c r="AB33" i="2"/>
  <c r="AB35" i="2" s="1"/>
  <c r="AB32" i="2"/>
  <c r="AG15" i="2"/>
  <c r="AG24" i="2"/>
  <c r="AG16" i="2"/>
  <c r="AG9" i="2"/>
  <c r="AG8" i="2"/>
  <c r="AB20" i="2"/>
  <c r="AF31" i="2"/>
  <c r="AF12" i="2"/>
  <c r="AD25" i="2"/>
  <c r="AD26" i="2"/>
  <c r="O24" i="2"/>
  <c r="O16" i="2"/>
  <c r="O9" i="2"/>
  <c r="O7" i="2"/>
  <c r="Z19" i="2"/>
  <c r="Z35" i="2"/>
  <c r="Z34" i="2"/>
  <c r="Z18" i="2"/>
  <c r="AA27" i="2"/>
  <c r="N12" i="2"/>
  <c r="N31" i="2"/>
  <c r="N13" i="2"/>
  <c r="AC34" i="2"/>
  <c r="P11" i="2"/>
  <c r="O11" i="2"/>
  <c r="N11" i="2"/>
  <c r="N15" i="2"/>
  <c r="I33" i="2"/>
  <c r="I35" i="2" s="1"/>
  <c r="F33" i="2"/>
  <c r="F32" i="2"/>
  <c r="C24" i="2"/>
  <c r="C15" i="2"/>
  <c r="C8" i="2"/>
  <c r="C7" i="2"/>
  <c r="I26" i="2"/>
  <c r="I28" i="2" s="1"/>
  <c r="I25" i="2"/>
  <c r="B15" i="2"/>
  <c r="B24" i="2"/>
  <c r="B8" i="2"/>
  <c r="B7" i="2"/>
  <c r="B12" i="2"/>
  <c r="B31" i="2"/>
  <c r="B13" i="2"/>
  <c r="B11" i="2"/>
  <c r="Q24" i="2"/>
  <c r="Q16" i="2"/>
  <c r="Q15" i="2"/>
  <c r="Q7" i="2"/>
  <c r="Q9" i="2"/>
  <c r="Q13" i="2"/>
  <c r="Q31" i="2"/>
  <c r="Q12" i="2"/>
  <c r="Q11" i="2"/>
  <c r="AB18" i="2"/>
  <c r="AB34" i="2"/>
  <c r="G26" i="2"/>
  <c r="G28" i="2" s="1"/>
  <c r="G25" i="2"/>
  <c r="P15" i="2"/>
  <c r="P24" i="2"/>
  <c r="P16" i="2"/>
  <c r="P7" i="2"/>
  <c r="P9" i="2"/>
  <c r="AE24" i="2"/>
  <c r="AE16" i="2"/>
  <c r="AE9" i="2"/>
  <c r="AE8" i="2"/>
  <c r="AE15" i="2"/>
  <c r="AE31" i="2"/>
  <c r="AE11" i="2"/>
  <c r="AE12" i="2"/>
  <c r="AD16" i="2"/>
  <c r="AD15" i="2"/>
  <c r="AD8" i="2"/>
  <c r="AD31" i="2"/>
  <c r="AD13" i="2"/>
  <c r="AD11" i="2"/>
  <c r="AD12" i="2"/>
  <c r="Q8" i="2"/>
  <c r="Y19" i="2"/>
  <c r="Y34" i="2"/>
  <c r="Y18" i="2"/>
  <c r="Y20" i="2" s="1"/>
  <c r="P8" i="2"/>
  <c r="X19" i="2"/>
  <c r="X34" i="2"/>
  <c r="X18" i="2"/>
  <c r="Y27" i="2"/>
  <c r="O8" i="2"/>
  <c r="W34" i="2"/>
  <c r="W18" i="2"/>
  <c r="N8" i="2"/>
  <c r="Z17" i="2"/>
  <c r="S15" i="2"/>
  <c r="B16" i="2"/>
  <c r="I27" i="2"/>
  <c r="G17" i="2"/>
  <c r="G20" i="2" s="1"/>
  <c r="G27" i="2"/>
  <c r="H27" i="2"/>
  <c r="C9" i="2"/>
  <c r="L25" i="2"/>
  <c r="L26" i="2"/>
  <c r="L28" i="2" s="1"/>
  <c r="H34" i="2"/>
  <c r="H33" i="2"/>
  <c r="H35" i="2" s="1"/>
  <c r="X17" i="2"/>
  <c r="X20" i="2" s="1"/>
  <c r="M18" i="2"/>
  <c r="M20" i="2" s="1"/>
  <c r="M35" i="2"/>
  <c r="J8" i="2"/>
  <c r="L35" i="2"/>
  <c r="AC18" i="2"/>
  <c r="AB25" i="2"/>
  <c r="D33" i="2"/>
  <c r="M19" i="2"/>
  <c r="W28" i="2"/>
  <c r="D25" i="2"/>
  <c r="Y25" i="2"/>
  <c r="D17" i="2"/>
  <c r="Z15" i="2"/>
  <c r="X25" i="2"/>
  <c r="F26" i="2"/>
  <c r="X33" i="2"/>
  <c r="X35" i="2" s="1"/>
  <c r="Z32" i="2"/>
  <c r="E8" i="2"/>
  <c r="E9" i="2"/>
  <c r="E7" i="2"/>
  <c r="E18" i="2" s="1"/>
  <c r="W33" i="2"/>
  <c r="W35" i="2" s="1"/>
  <c r="M27" i="2"/>
  <c r="M28" i="2"/>
  <c r="L27" i="2"/>
  <c r="E28" i="2"/>
  <c r="K27" i="2"/>
  <c r="J31" i="2"/>
  <c r="J13" i="2"/>
  <c r="Y28" i="2"/>
  <c r="E25" i="2"/>
  <c r="J12" i="2"/>
  <c r="L19" i="2"/>
  <c r="Y33" i="2"/>
  <c r="Y35" i="2" s="1"/>
  <c r="K19" i="2"/>
  <c r="V15" i="2"/>
  <c r="V24" i="2"/>
  <c r="F7" i="2"/>
  <c r="F9" i="2"/>
  <c r="F8" i="2"/>
  <c r="U8" i="2"/>
  <c r="U9" i="2"/>
  <c r="U24" i="2"/>
  <c r="U15" i="2"/>
  <c r="U18" i="2" s="1"/>
  <c r="J9" i="2"/>
  <c r="T9" i="2"/>
  <c r="T15" i="2"/>
  <c r="T8" i="2"/>
  <c r="T12" i="2"/>
  <c r="T11" i="2"/>
  <c r="D12" i="2"/>
  <c r="D11" i="2"/>
  <c r="F12" i="2"/>
  <c r="D27" i="2"/>
  <c r="V33" i="2"/>
  <c r="W8" i="2"/>
  <c r="W19" i="2" s="1"/>
  <c r="V7" i="2"/>
  <c r="V9" i="2" s="1"/>
  <c r="V8" i="2"/>
  <c r="V11" i="2"/>
  <c r="V13" i="2" s="1"/>
  <c r="V12" i="2"/>
  <c r="V16" i="2"/>
  <c r="A31" i="2"/>
  <c r="A33" i="2" s="1"/>
  <c r="A26" i="2"/>
  <c r="A25" i="2"/>
  <c r="A15" i="2"/>
  <c r="A16" i="2"/>
  <c r="A11" i="2"/>
  <c r="A13" i="2" s="1"/>
  <c r="A8" i="2"/>
  <c r="AE27" i="2" l="1"/>
  <c r="AE17" i="2"/>
  <c r="V17" i="2"/>
  <c r="V27" i="2"/>
  <c r="U27" i="2"/>
  <c r="U17" i="2"/>
  <c r="U20" i="2" s="1"/>
  <c r="AE33" i="2"/>
  <c r="AE35" i="2" s="1"/>
  <c r="AE32" i="2"/>
  <c r="N32" i="2"/>
  <c r="N33" i="2"/>
  <c r="N35" i="2" s="1"/>
  <c r="R26" i="2"/>
  <c r="R28" i="2" s="1"/>
  <c r="R25" i="2"/>
  <c r="J33" i="2"/>
  <c r="J35" i="2" s="1"/>
  <c r="J32" i="2"/>
  <c r="N18" i="2"/>
  <c r="N19" i="2"/>
  <c r="N34" i="2"/>
  <c r="P27" i="2"/>
  <c r="P17" i="2"/>
  <c r="C32" i="2"/>
  <c r="C33" i="2"/>
  <c r="F17" i="2"/>
  <c r="F27" i="2"/>
  <c r="AE26" i="2"/>
  <c r="AE28" i="2" s="1"/>
  <c r="AE25" i="2"/>
  <c r="C19" i="2"/>
  <c r="C34" i="2"/>
  <c r="C35" i="2"/>
  <c r="C18" i="2"/>
  <c r="Q27" i="2"/>
  <c r="Q17" i="2"/>
  <c r="AD18" i="2"/>
  <c r="AD34" i="2"/>
  <c r="AD19" i="2"/>
  <c r="S25" i="2"/>
  <c r="S26" i="2"/>
  <c r="S28" i="2" s="1"/>
  <c r="F19" i="2"/>
  <c r="F18" i="2"/>
  <c r="F34" i="2"/>
  <c r="F35" i="2"/>
  <c r="Z20" i="2"/>
  <c r="P26" i="2"/>
  <c r="P28" i="2" s="1"/>
  <c r="P25" i="2"/>
  <c r="S19" i="2"/>
  <c r="S35" i="2"/>
  <c r="S18" i="2"/>
  <c r="S34" i="2"/>
  <c r="AF27" i="2"/>
  <c r="AF17" i="2"/>
  <c r="D19" i="2"/>
  <c r="D34" i="2"/>
  <c r="D35" i="2"/>
  <c r="D18" i="2"/>
  <c r="D20" i="2" s="1"/>
  <c r="AD33" i="2"/>
  <c r="AD35" i="2" s="1"/>
  <c r="AD32" i="2"/>
  <c r="O26" i="2"/>
  <c r="O28" i="2" s="1"/>
  <c r="O25" i="2"/>
  <c r="S17" i="2"/>
  <c r="S20" i="2" s="1"/>
  <c r="S27" i="2"/>
  <c r="B33" i="2"/>
  <c r="B35" i="2" s="1"/>
  <c r="B32" i="2"/>
  <c r="R19" i="2"/>
  <c r="R34" i="2"/>
  <c r="R18" i="2"/>
  <c r="T19" i="2"/>
  <c r="T35" i="2"/>
  <c r="T18" i="2"/>
  <c r="T34" i="2"/>
  <c r="J28" i="2"/>
  <c r="T17" i="2"/>
  <c r="T20" i="2" s="1"/>
  <c r="T27" i="2"/>
  <c r="F28" i="2"/>
  <c r="O35" i="2"/>
  <c r="O34" i="2"/>
  <c r="O18" i="2"/>
  <c r="O19" i="2"/>
  <c r="AG33" i="2"/>
  <c r="AG32" i="2"/>
  <c r="V34" i="2"/>
  <c r="V19" i="2"/>
  <c r="V35" i="2"/>
  <c r="V18" i="2"/>
  <c r="Q34" i="2"/>
  <c r="Q19" i="2"/>
  <c r="Q18" i="2"/>
  <c r="AG27" i="2"/>
  <c r="AG17" i="2"/>
  <c r="AG20" i="2" s="1"/>
  <c r="U25" i="2"/>
  <c r="U26" i="2"/>
  <c r="U28" i="2" s="1"/>
  <c r="Q33" i="2"/>
  <c r="Q35" i="2" s="1"/>
  <c r="Q32" i="2"/>
  <c r="C17" i="2"/>
  <c r="C27" i="2"/>
  <c r="AG26" i="2"/>
  <c r="AG28" i="2" s="1"/>
  <c r="AG25" i="2"/>
  <c r="W17" i="2"/>
  <c r="W20" i="2" s="1"/>
  <c r="W27" i="2"/>
  <c r="C26" i="2"/>
  <c r="C28" i="2" s="1"/>
  <c r="C25" i="2"/>
  <c r="U19" i="2"/>
  <c r="P19" i="2"/>
  <c r="P18" i="2"/>
  <c r="P34" i="2"/>
  <c r="P33" i="2"/>
  <c r="P35" i="2" s="1"/>
  <c r="P32" i="2"/>
  <c r="V26" i="2"/>
  <c r="V28" i="2" s="1"/>
  <c r="V25" i="2"/>
  <c r="Q26" i="2"/>
  <c r="Q28" i="2" s="1"/>
  <c r="Q25" i="2"/>
  <c r="S32" i="2"/>
  <c r="S33" i="2"/>
  <c r="J27" i="2"/>
  <c r="J17" i="2"/>
  <c r="R33" i="2"/>
  <c r="R35" i="2" s="1"/>
  <c r="R32" i="2"/>
  <c r="N25" i="2"/>
  <c r="N26" i="2"/>
  <c r="N28" i="2" s="1"/>
  <c r="E17" i="2"/>
  <c r="E20" i="2" s="1"/>
  <c r="E27" i="2"/>
  <c r="N17" i="2"/>
  <c r="N27" i="2"/>
  <c r="AD27" i="2"/>
  <c r="AD17" i="2"/>
  <c r="AD20" i="2" s="1"/>
  <c r="AD28" i="2"/>
  <c r="AF26" i="2"/>
  <c r="AF28" i="2" s="1"/>
  <c r="AF25" i="2"/>
  <c r="B19" i="2"/>
  <c r="B34" i="2"/>
  <c r="B18" i="2"/>
  <c r="J34" i="2"/>
  <c r="J19" i="2"/>
  <c r="J18" i="2"/>
  <c r="O27" i="2"/>
  <c r="O17" i="2"/>
  <c r="O20" i="2" s="1"/>
  <c r="T28" i="2"/>
  <c r="AE34" i="2"/>
  <c r="AE18" i="2"/>
  <c r="AE19" i="2"/>
  <c r="B27" i="2"/>
  <c r="B17" i="2"/>
  <c r="AF19" i="2"/>
  <c r="AF34" i="2"/>
  <c r="AF18" i="2"/>
  <c r="B26" i="2"/>
  <c r="B28" i="2" s="1"/>
  <c r="B25" i="2"/>
  <c r="AF33" i="2"/>
  <c r="AF35" i="2" s="1"/>
  <c r="AF32" i="2"/>
  <c r="R27" i="2"/>
  <c r="R17" i="2"/>
  <c r="R20" i="2" s="1"/>
  <c r="O33" i="2"/>
  <c r="O32" i="2"/>
  <c r="AG35" i="2"/>
  <c r="AG34" i="2"/>
  <c r="AG19" i="2"/>
  <c r="AG18" i="2"/>
  <c r="A17" i="2"/>
  <c r="A32" i="2"/>
  <c r="A28" i="2"/>
  <c r="A12" i="2"/>
  <c r="A18" i="2" s="1"/>
  <c r="A9" i="2"/>
  <c r="A27" i="2" s="1"/>
  <c r="N20" i="2" l="1"/>
  <c r="J20" i="2"/>
  <c r="B20" i="2"/>
  <c r="A39" i="2" s="1"/>
  <c r="F20" i="2"/>
  <c r="P20" i="2"/>
  <c r="AF20" i="2"/>
  <c r="V20" i="2"/>
  <c r="AE20" i="2"/>
  <c r="C20" i="2"/>
  <c r="Q20" i="2"/>
  <c r="A20" i="2"/>
  <c r="A34" i="2"/>
  <c r="A3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935AEC-C94A-4380-BFC8-2B028BA97B83}" keepAlive="1" name="Query - New Dokument tekstowy" description="Connection to the 'New Dokument tekstowy' query in the workbook." type="5" refreshedVersion="8" background="1" saveData="1">
    <dbPr connection="Provider=Microsoft.Mashup.OleDb.1;Data Source=$Workbook$;Location=&quot;New Dokument tekstowy&quot;;Extended Properties=&quot;&quot;" command="SELECT * FROM [New Dokument tekstowy]"/>
  </connection>
  <connection id="2" xr16:uid="{F7C6771C-859A-4CBA-A091-28ED344CBA71}" keepAlive="1" name="Query - New Dokument tekstowy (2)" description="Connection to the 'New Dokument tekstowy (2)' query in the workbook." type="5" refreshedVersion="0" background="1">
    <dbPr connection="Provider=Microsoft.Mashup.OleDb.1;Data Source=$Workbook$;Location=&quot;New Dokument tekstowy (2)&quot;;Extended Properties=&quot;&quot;" command="SELECT * FROM [New Dokument tekstowy (2)]"/>
  </connection>
</connections>
</file>

<file path=xl/sharedStrings.xml><?xml version="1.0" encoding="utf-8"?>
<sst xmlns="http://schemas.openxmlformats.org/spreadsheetml/2006/main" count="40" uniqueCount="40">
  <si>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</si>
  <si>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</si>
  <si>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</si>
  <si>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</si>
  <si>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</si>
  <si>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</si>
  <si>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</si>
  <si>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</si>
  <si>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</si>
  <si>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</si>
  <si>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</si>
  <si>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CASE =</t>
  </si>
  <si>
    <t>CASE &lt;</t>
  </si>
  <si>
    <t>CASE &gt;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</si>
  <si>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</si>
  <si>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</si>
  <si>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</si>
  <si>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</si>
  <si>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</si>
  <si>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</si>
  <si>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</si>
  <si>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</si>
  <si>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</si>
  <si>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</si>
  <si>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</si>
  <si>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</si>
  <si>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</si>
  <si>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</si>
  <si>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</si>
  <si>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</si>
  <si>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</si>
  <si>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</si>
  <si>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</si>
  <si>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</si>
  <si>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</si>
  <si>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</si>
  <si>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24-46</t>
  </si>
  <si>
    <t>SUM: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</si>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</sst>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" fontId="0" fillId="0" borderId="0" xfId="0" applyNumberFormat="1"/>
    <xf numFmtId="2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34"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A2D953-C74A-459C-B8FD-CC14523FD748}" autoFormatId="16" applyNumberFormats="0" applyBorderFormats="0" applyFontFormats="0" applyPatternFormats="0" applyAlignmentFormats="0" applyWidthHeightFormats="0">
  <queryTableRefresh nextId="34" unboundColumnsRight="22">
    <queryTableFields count="3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  <queryTableField id="30" dataBound="0" tableColumnId="30"/>
      <queryTableField id="31" dataBound="0" tableColumnId="31"/>
      <queryTableField id="32" dataBound="0" tableColumnId="32"/>
      <queryTableField id="33" dataBound="0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E26346-0861-4152-9C16-15D150CE2C80}" name="New_Dokument_tekstowy" displayName="New_Dokument_tekstowy" ref="A1:AG2" tableType="queryTable" totalsRowShown="0" headerRowDxfId="33">
  <autoFilter ref="A1:AG2" xr:uid="{42E26346-0861-4152-9C16-15D150CE2C80}"/>
  <tableColumns count="33">
    <tableColumn id="1" xr3:uid="{BB35DB97-9718-4FC1-B72A-226B02FAB9B6}" uniqueName="1" name="Column1" queryTableFieldId="1" dataDxfId="32"/>
    <tableColumn id="2" xr3:uid="{2159100B-5427-461D-9E82-229058B0ECB6}" uniqueName="2" name="Column2" queryTableFieldId="2" dataDxfId="31"/>
    <tableColumn id="3" xr3:uid="{03EF71ED-C7D1-48A1-809B-7904E9F5233A}" uniqueName="3" name="Column3" queryTableFieldId="3" dataDxfId="30"/>
    <tableColumn id="4" xr3:uid="{7097B921-1F2C-4835-8B5A-4CE44D179440}" uniqueName="4" name="Column4" queryTableFieldId="4" dataDxfId="29"/>
    <tableColumn id="5" xr3:uid="{79FEB169-282A-42CA-B7DD-32F993B2E1D4}" uniqueName="5" name="Column5" queryTableFieldId="5" dataDxfId="28"/>
    <tableColumn id="6" xr3:uid="{C0C8812D-63A6-4200-ABA9-AC44E6DBA76A}" uniqueName="6" name="Column6" queryTableFieldId="6" dataDxfId="27"/>
    <tableColumn id="7" xr3:uid="{0A7E6F52-EC0A-40B0-A30E-4504222F5E6E}" uniqueName="7" name="Column7" queryTableFieldId="7" dataDxfId="26"/>
    <tableColumn id="8" xr3:uid="{43AF6ADE-766C-4731-B019-B014CE1CA50B}" uniqueName="8" name="Column8" queryTableFieldId="8" dataDxfId="25"/>
    <tableColumn id="9" xr3:uid="{E841142A-F493-4DAF-A373-D462E15021F7}" uniqueName="9" name="Column9" queryTableFieldId="9" dataDxfId="24"/>
    <tableColumn id="10" xr3:uid="{53FE39D4-534E-4F35-BFD1-8DE8C5DDFD06}" uniqueName="10" name="Column10" queryTableFieldId="10" dataDxfId="23"/>
    <tableColumn id="11" xr3:uid="{5BA4305B-126B-42B6-A001-891A8841BDAF}" uniqueName="11" name="Column11" queryTableFieldId="11" dataDxfId="22"/>
    <tableColumn id="12" xr3:uid="{45A4243D-6421-4EB4-8B8A-A5AA47813F28}" uniqueName="12" name="Column12" queryTableFieldId="12" dataDxfId="21"/>
    <tableColumn id="13" xr3:uid="{28732829-2290-49EA-9D21-A3D49567ED57}" uniqueName="13" name="Column13" queryTableFieldId="13" dataDxfId="20"/>
    <tableColumn id="14" xr3:uid="{9DA49AC6-06A8-4080-8B30-6DE9B56195D2}" uniqueName="14" name="Column14" queryTableFieldId="14" dataDxfId="19"/>
    <tableColumn id="15" xr3:uid="{8C728307-D626-44AF-BF48-3203AE6A5EAD}" uniqueName="15" name="Column15" queryTableFieldId="15" dataDxfId="18"/>
    <tableColumn id="16" xr3:uid="{900AB24D-24FD-4329-944A-F200F18528B1}" uniqueName="16" name="Column16" queryTableFieldId="16" dataDxfId="17"/>
    <tableColumn id="17" xr3:uid="{C267FCF5-3884-434B-AA18-53A903213DAC}" uniqueName="17" name="Column17" queryTableFieldId="17" dataDxfId="16"/>
    <tableColumn id="18" xr3:uid="{4FF9BC76-1C27-4A47-857E-8935CE2CC6C1}" uniqueName="18" name="Column18" queryTableFieldId="18" dataDxfId="15"/>
    <tableColumn id="19" xr3:uid="{5B7E60F9-26AA-4CFA-BE2F-29350A2BB3AB}" uniqueName="19" name="Column19" queryTableFieldId="19" dataDxfId="14"/>
    <tableColumn id="20" xr3:uid="{14B3FA95-3FC3-4865-A5A2-54917CF065BA}" uniqueName="20" name="Column20" queryTableFieldId="20" dataDxfId="13"/>
    <tableColumn id="21" xr3:uid="{1D6E3DD2-B941-46D7-BA9D-3F554B43518B}" uniqueName="21" name="Column21" queryTableFieldId="21" dataDxfId="2"/>
    <tableColumn id="22" xr3:uid="{FD1736CD-1C04-44C2-9C9D-605B92348E7C}" uniqueName="22" name="Column22" queryTableFieldId="22" dataDxfId="0"/>
    <tableColumn id="23" xr3:uid="{E4421496-67EC-4F27-B480-FAB4DE2B9484}" uniqueName="23" name="Column23" queryTableFieldId="23" dataDxfId="1"/>
    <tableColumn id="24" xr3:uid="{B30FC154-586A-468F-A2EA-566135F273C3}" uniqueName="24" name="Column24" queryTableFieldId="24" dataDxfId="12"/>
    <tableColumn id="25" xr3:uid="{BF2F9354-1BAF-497A-8819-D597E444B02C}" uniqueName="25" name="Column25" queryTableFieldId="25" dataDxfId="11"/>
    <tableColumn id="26" xr3:uid="{14679935-E49F-4153-BE7F-4054DB2AA769}" uniqueName="26" name="Column26" queryTableFieldId="26" dataDxfId="10"/>
    <tableColumn id="27" xr3:uid="{EA1D92AB-D4AC-4DA4-AFBF-A602FABC8FE4}" uniqueName="27" name="Column27" queryTableFieldId="27" dataDxfId="9"/>
    <tableColumn id="28" xr3:uid="{8DE36825-2176-4B8A-9F9D-5988F78BA1E9}" uniqueName="28" name="Column28" queryTableFieldId="28" dataDxfId="8"/>
    <tableColumn id="29" xr3:uid="{9D9E7FCB-C62F-4BC9-AB5B-896F7CBE0719}" uniqueName="29" name="Column29" queryTableFieldId="29" dataDxfId="7"/>
    <tableColumn id="30" xr3:uid="{3AC40ABE-2058-479A-9355-BAAFDE4B661E}" uniqueName="30" name="Column30" queryTableFieldId="30" dataDxfId="6"/>
    <tableColumn id="31" xr3:uid="{051B2889-E32B-49F6-966E-334D0273A977}" uniqueName="31" name="Column31" queryTableFieldId="31" dataDxfId="5"/>
    <tableColumn id="32" xr3:uid="{256919CE-D6C9-4EE3-90A4-F2FFB2E6001F}" uniqueName="32" name="Column32" queryTableFieldId="32" dataDxfId="4"/>
    <tableColumn id="33" xr3:uid="{F7E12C68-9424-47A3-A68D-EC44AD4F2455}" uniqueName="33" name="Column33" queryTableFieldId="33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6AD49-E568-4CD2-894A-E2770EF2F1D9}">
  <dimension ref="A1:AG39"/>
  <sheetViews>
    <sheetView tabSelected="1" workbookViewId="0">
      <selection activeCell="A23" sqref="A23"/>
    </sheetView>
  </sheetViews>
  <sheetFormatPr defaultRowHeight="15" x14ac:dyDescent="0.25"/>
  <cols>
    <col min="1" max="1" width="26" style="2" customWidth="1"/>
    <col min="2" max="2" width="18" style="2" customWidth="1"/>
    <col min="3" max="3" width="11.42578125" style="2" bestFit="1" customWidth="1"/>
    <col min="4" max="4" width="26.140625" style="2" customWidth="1"/>
    <col min="5" max="5" width="13.85546875" style="2" bestFit="1" customWidth="1"/>
    <col min="6" max="6" width="15.85546875" style="2" bestFit="1" customWidth="1"/>
    <col min="7" max="7" width="13.85546875" style="2" bestFit="1" customWidth="1"/>
    <col min="8" max="8" width="18" style="2" bestFit="1" customWidth="1"/>
    <col min="9" max="9" width="13.85546875" style="2" bestFit="1" customWidth="1"/>
    <col min="10" max="10" width="20" style="2" bestFit="1" customWidth="1"/>
    <col min="11" max="11" width="22.140625" style="2" bestFit="1" customWidth="1"/>
    <col min="12" max="16384" width="9.140625" style="2"/>
  </cols>
  <sheetData>
    <row r="1" spans="1:3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</row>
    <row r="2" spans="1:33" x14ac:dyDescent="0.25">
      <c r="A2" s="1" t="s">
        <v>36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4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4" spans="1:33" x14ac:dyDescent="0.25">
      <c r="A4" s="2">
        <f>FIND("-",A2)-1</f>
        <v>2</v>
      </c>
      <c r="B4" s="2" t="e">
        <f t="shared" ref="B4:AG4" si="0">FIND("-",B2)-1</f>
        <v>#VALUE!</v>
      </c>
      <c r="C4" s="2" t="e">
        <f t="shared" si="0"/>
        <v>#VALUE!</v>
      </c>
      <c r="D4" s="2" t="e">
        <f t="shared" si="0"/>
        <v>#VALUE!</v>
      </c>
      <c r="E4" s="2" t="e">
        <f t="shared" si="0"/>
        <v>#VALUE!</v>
      </c>
      <c r="F4" s="2" t="e">
        <f t="shared" si="0"/>
        <v>#VALUE!</v>
      </c>
      <c r="G4" s="2" t="e">
        <f t="shared" si="0"/>
        <v>#VALUE!</v>
      </c>
      <c r="H4" s="2" t="e">
        <f t="shared" si="0"/>
        <v>#VALUE!</v>
      </c>
      <c r="I4" s="2" t="e">
        <f t="shared" si="0"/>
        <v>#VALUE!</v>
      </c>
      <c r="J4" s="2" t="e">
        <f t="shared" si="0"/>
        <v>#VALUE!</v>
      </c>
      <c r="K4" s="2" t="e">
        <f t="shared" si="0"/>
        <v>#VALUE!</v>
      </c>
      <c r="L4" s="2" t="e">
        <f t="shared" si="0"/>
        <v>#VALUE!</v>
      </c>
      <c r="M4" s="2" t="e">
        <f t="shared" si="0"/>
        <v>#VALUE!</v>
      </c>
      <c r="N4" s="2" t="e">
        <f t="shared" si="0"/>
        <v>#VALUE!</v>
      </c>
      <c r="O4" s="2" t="e">
        <f t="shared" si="0"/>
        <v>#VALUE!</v>
      </c>
      <c r="P4" s="2" t="e">
        <f t="shared" si="0"/>
        <v>#VALUE!</v>
      </c>
      <c r="Q4" s="2" t="e">
        <f t="shared" si="0"/>
        <v>#VALUE!</v>
      </c>
      <c r="R4" s="2" t="e">
        <f t="shared" si="0"/>
        <v>#VALUE!</v>
      </c>
      <c r="S4" s="2" t="e">
        <f t="shared" si="0"/>
        <v>#VALUE!</v>
      </c>
      <c r="T4" s="2" t="e">
        <f t="shared" si="0"/>
        <v>#VALUE!</v>
      </c>
      <c r="U4" s="2" t="e">
        <f t="shared" si="0"/>
        <v>#VALUE!</v>
      </c>
      <c r="V4" s="2" t="e">
        <f t="shared" si="0"/>
        <v>#VALUE!</v>
      </c>
      <c r="W4" s="2" t="e">
        <f t="shared" si="0"/>
        <v>#VALUE!</v>
      </c>
      <c r="X4" s="2" t="e">
        <f t="shared" si="0"/>
        <v>#VALUE!</v>
      </c>
      <c r="Y4" s="2" t="e">
        <f t="shared" si="0"/>
        <v>#VALUE!</v>
      </c>
      <c r="Z4" s="2" t="e">
        <f t="shared" si="0"/>
        <v>#VALUE!</v>
      </c>
      <c r="AA4" s="2" t="e">
        <f t="shared" si="0"/>
        <v>#VALUE!</v>
      </c>
      <c r="AB4" s="2" t="e">
        <f t="shared" si="0"/>
        <v>#VALUE!</v>
      </c>
      <c r="AC4" s="2" t="e">
        <f t="shared" si="0"/>
        <v>#VALUE!</v>
      </c>
      <c r="AD4" s="2" t="e">
        <f t="shared" si="0"/>
        <v>#VALUE!</v>
      </c>
      <c r="AE4" s="2" t="e">
        <f t="shared" si="0"/>
        <v>#VALUE!</v>
      </c>
      <c r="AF4" s="2" t="e">
        <f t="shared" si="0"/>
        <v>#VALUE!</v>
      </c>
      <c r="AG4" s="2" t="e">
        <f t="shared" si="0"/>
        <v>#VALUE!</v>
      </c>
    </row>
    <row r="5" spans="1:33" x14ac:dyDescent="0.25">
      <c r="A5" s="2">
        <f>LEN(A2)-FIND("-",A2)</f>
        <v>2</v>
      </c>
      <c r="B5" s="2" t="e">
        <f t="shared" ref="B5:AG5" si="1">LEN(B2)-FIND("-",B2)</f>
        <v>#VALUE!</v>
      </c>
      <c r="C5" s="2" t="e">
        <f t="shared" si="1"/>
        <v>#VALUE!</v>
      </c>
      <c r="D5" s="2" t="e">
        <f t="shared" si="1"/>
        <v>#VALUE!</v>
      </c>
      <c r="E5" s="2" t="e">
        <f t="shared" si="1"/>
        <v>#VALUE!</v>
      </c>
      <c r="F5" s="2" t="e">
        <f t="shared" si="1"/>
        <v>#VALUE!</v>
      </c>
      <c r="G5" s="2" t="e">
        <f t="shared" si="1"/>
        <v>#VALUE!</v>
      </c>
      <c r="H5" s="2" t="e">
        <f t="shared" si="1"/>
        <v>#VALUE!</v>
      </c>
      <c r="I5" s="2" t="e">
        <f t="shared" si="1"/>
        <v>#VALUE!</v>
      </c>
      <c r="J5" s="2" t="e">
        <f t="shared" si="1"/>
        <v>#VALUE!</v>
      </c>
      <c r="K5" s="2" t="e">
        <f t="shared" si="1"/>
        <v>#VALUE!</v>
      </c>
      <c r="L5" s="2" t="e">
        <f t="shared" si="1"/>
        <v>#VALUE!</v>
      </c>
      <c r="M5" s="2" t="e">
        <f t="shared" si="1"/>
        <v>#VALUE!</v>
      </c>
      <c r="N5" s="2" t="e">
        <f t="shared" si="1"/>
        <v>#VALUE!</v>
      </c>
      <c r="O5" s="2" t="e">
        <f t="shared" si="1"/>
        <v>#VALUE!</v>
      </c>
      <c r="P5" s="2" t="e">
        <f t="shared" si="1"/>
        <v>#VALUE!</v>
      </c>
      <c r="Q5" s="2" t="e">
        <f t="shared" si="1"/>
        <v>#VALUE!</v>
      </c>
      <c r="R5" s="2" t="e">
        <f t="shared" si="1"/>
        <v>#VALUE!</v>
      </c>
      <c r="S5" s="2" t="e">
        <f t="shared" si="1"/>
        <v>#VALUE!</v>
      </c>
      <c r="T5" s="2" t="e">
        <f t="shared" si="1"/>
        <v>#VALUE!</v>
      </c>
      <c r="U5" s="2" t="e">
        <f t="shared" si="1"/>
        <v>#VALUE!</v>
      </c>
      <c r="V5" s="2" t="e">
        <f t="shared" si="1"/>
        <v>#VALUE!</v>
      </c>
      <c r="W5" s="2" t="e">
        <f t="shared" si="1"/>
        <v>#VALUE!</v>
      </c>
      <c r="X5" s="2" t="e">
        <f t="shared" si="1"/>
        <v>#VALUE!</v>
      </c>
      <c r="Y5" s="2" t="e">
        <f t="shared" si="1"/>
        <v>#VALUE!</v>
      </c>
      <c r="Z5" s="2" t="e">
        <f t="shared" si="1"/>
        <v>#VALUE!</v>
      </c>
      <c r="AA5" s="2" t="e">
        <f t="shared" si="1"/>
        <v>#VALUE!</v>
      </c>
      <c r="AB5" s="2" t="e">
        <f t="shared" si="1"/>
        <v>#VALUE!</v>
      </c>
      <c r="AC5" s="2" t="e">
        <f t="shared" si="1"/>
        <v>#VALUE!</v>
      </c>
      <c r="AD5" s="2" t="e">
        <f t="shared" si="1"/>
        <v>#VALUE!</v>
      </c>
      <c r="AE5" s="2" t="e">
        <f t="shared" si="1"/>
        <v>#VALUE!</v>
      </c>
      <c r="AF5" s="2" t="e">
        <f t="shared" si="1"/>
        <v>#VALUE!</v>
      </c>
      <c r="AG5" s="2" t="e">
        <f t="shared" si="1"/>
        <v>#VALUE!</v>
      </c>
    </row>
    <row r="6" spans="1:33" x14ac:dyDescent="0.25">
      <c r="A6" s="2" t="s">
        <v>38</v>
      </c>
    </row>
    <row r="7" spans="1:33" x14ac:dyDescent="0.25">
      <c r="A7" s="2" t="str">
        <f>LEFT(A2,A4)</f>
        <v>24</v>
      </c>
      <c r="B7" s="2" t="e">
        <f t="shared" ref="B7:AG7" si="2">LEFT(B2,B4)</f>
        <v>#VALUE!</v>
      </c>
      <c r="C7" s="2" t="e">
        <f t="shared" si="2"/>
        <v>#VALUE!</v>
      </c>
      <c r="D7" s="2" t="e">
        <f t="shared" si="2"/>
        <v>#VALUE!</v>
      </c>
      <c r="E7" s="2" t="e">
        <f t="shared" si="2"/>
        <v>#VALUE!</v>
      </c>
      <c r="F7" s="2" t="e">
        <f t="shared" si="2"/>
        <v>#VALUE!</v>
      </c>
      <c r="G7" s="2" t="e">
        <f t="shared" si="2"/>
        <v>#VALUE!</v>
      </c>
      <c r="H7" s="2" t="e">
        <f t="shared" si="2"/>
        <v>#VALUE!</v>
      </c>
      <c r="I7" s="2" t="e">
        <f t="shared" si="2"/>
        <v>#VALUE!</v>
      </c>
      <c r="J7" s="2" t="e">
        <f t="shared" si="2"/>
        <v>#VALUE!</v>
      </c>
      <c r="K7" s="2" t="e">
        <f t="shared" si="2"/>
        <v>#VALUE!</v>
      </c>
      <c r="L7" s="2" t="e">
        <f t="shared" si="2"/>
        <v>#VALUE!</v>
      </c>
      <c r="M7" s="2" t="e">
        <f t="shared" si="2"/>
        <v>#VALUE!</v>
      </c>
      <c r="N7" s="2" t="e">
        <f t="shared" si="2"/>
        <v>#VALUE!</v>
      </c>
      <c r="O7" s="2" t="e">
        <f t="shared" si="2"/>
        <v>#VALUE!</v>
      </c>
      <c r="P7" s="2" t="e">
        <f t="shared" si="2"/>
        <v>#VALUE!</v>
      </c>
      <c r="Q7" s="2" t="e">
        <f t="shared" si="2"/>
        <v>#VALUE!</v>
      </c>
      <c r="R7" s="2" t="e">
        <f t="shared" si="2"/>
        <v>#VALUE!</v>
      </c>
      <c r="S7" s="2" t="e">
        <f t="shared" si="2"/>
        <v>#VALUE!</v>
      </c>
      <c r="T7" s="2" t="e">
        <f t="shared" si="2"/>
        <v>#VALUE!</v>
      </c>
      <c r="U7" s="2" t="e">
        <f t="shared" si="2"/>
        <v>#VALUE!</v>
      </c>
      <c r="V7" s="2" t="e">
        <f t="shared" si="2"/>
        <v>#VALUE!</v>
      </c>
      <c r="W7" s="2" t="e">
        <f t="shared" si="2"/>
        <v>#VALUE!</v>
      </c>
      <c r="X7" s="2" t="e">
        <f t="shared" si="2"/>
        <v>#VALUE!</v>
      </c>
      <c r="Y7" s="2" t="e">
        <f t="shared" si="2"/>
        <v>#VALUE!</v>
      </c>
      <c r="Z7" s="2" t="e">
        <f t="shared" si="2"/>
        <v>#VALUE!</v>
      </c>
      <c r="AA7" s="2" t="e">
        <f t="shared" si="2"/>
        <v>#VALUE!</v>
      </c>
      <c r="AB7" s="2" t="e">
        <f t="shared" si="2"/>
        <v>#VALUE!</v>
      </c>
      <c r="AC7" s="2" t="e">
        <f t="shared" si="2"/>
        <v>#VALUE!</v>
      </c>
      <c r="AD7" s="2" t="e">
        <f t="shared" si="2"/>
        <v>#VALUE!</v>
      </c>
      <c r="AE7" s="2" t="e">
        <f t="shared" si="2"/>
        <v>#VALUE!</v>
      </c>
      <c r="AF7" s="2" t="e">
        <f t="shared" si="2"/>
        <v>#VALUE!</v>
      </c>
      <c r="AG7" s="2" t="e">
        <f t="shared" si="2"/>
        <v>#VALUE!</v>
      </c>
    </row>
    <row r="8" spans="1:33" x14ac:dyDescent="0.25">
      <c r="A8" s="2" t="str">
        <f>IF(MOD(A4,2)=0,LEFT(A7,(A4/2)),0)</f>
        <v>2</v>
      </c>
      <c r="B8" s="2" t="e">
        <f t="shared" ref="B8:AG8" si="3">IF(MOD(B4,2)=0,LEFT(B7,(B4/2)),0)</f>
        <v>#VALUE!</v>
      </c>
      <c r="C8" s="2" t="e">
        <f t="shared" si="3"/>
        <v>#VALUE!</v>
      </c>
      <c r="D8" s="2" t="e">
        <f t="shared" si="3"/>
        <v>#VALUE!</v>
      </c>
      <c r="E8" s="2" t="e">
        <f t="shared" si="3"/>
        <v>#VALUE!</v>
      </c>
      <c r="F8" s="2" t="e">
        <f t="shared" si="3"/>
        <v>#VALUE!</v>
      </c>
      <c r="G8" s="2" t="e">
        <f t="shared" si="3"/>
        <v>#VALUE!</v>
      </c>
      <c r="H8" s="2" t="e">
        <f t="shared" si="3"/>
        <v>#VALUE!</v>
      </c>
      <c r="I8" s="2" t="e">
        <f t="shared" si="3"/>
        <v>#VALUE!</v>
      </c>
      <c r="J8" s="2" t="e">
        <f t="shared" si="3"/>
        <v>#VALUE!</v>
      </c>
      <c r="K8" s="2" t="e">
        <f t="shared" si="3"/>
        <v>#VALUE!</v>
      </c>
      <c r="L8" s="2" t="e">
        <f t="shared" si="3"/>
        <v>#VALUE!</v>
      </c>
      <c r="M8" s="2" t="e">
        <f t="shared" si="3"/>
        <v>#VALUE!</v>
      </c>
      <c r="N8" s="2" t="e">
        <f t="shared" si="3"/>
        <v>#VALUE!</v>
      </c>
      <c r="O8" s="2" t="e">
        <f t="shared" si="3"/>
        <v>#VALUE!</v>
      </c>
      <c r="P8" s="2" t="e">
        <f t="shared" si="3"/>
        <v>#VALUE!</v>
      </c>
      <c r="Q8" s="2" t="e">
        <f t="shared" si="3"/>
        <v>#VALUE!</v>
      </c>
      <c r="R8" s="2" t="e">
        <f t="shared" si="3"/>
        <v>#VALUE!</v>
      </c>
      <c r="S8" s="2" t="e">
        <f t="shared" si="3"/>
        <v>#VALUE!</v>
      </c>
      <c r="T8" s="2" t="e">
        <f t="shared" si="3"/>
        <v>#VALUE!</v>
      </c>
      <c r="U8" s="2" t="e">
        <f t="shared" si="3"/>
        <v>#VALUE!</v>
      </c>
      <c r="V8" s="2" t="e">
        <f t="shared" si="3"/>
        <v>#VALUE!</v>
      </c>
      <c r="W8" s="2" t="e">
        <f t="shared" si="3"/>
        <v>#VALUE!</v>
      </c>
      <c r="X8" s="2" t="e">
        <f t="shared" si="3"/>
        <v>#VALUE!</v>
      </c>
      <c r="Y8" s="2" t="e">
        <f t="shared" si="3"/>
        <v>#VALUE!</v>
      </c>
      <c r="Z8" s="2" t="e">
        <f t="shared" si="3"/>
        <v>#VALUE!</v>
      </c>
      <c r="AA8" s="2" t="e">
        <f t="shared" si="3"/>
        <v>#VALUE!</v>
      </c>
      <c r="AB8" s="2" t="e">
        <f t="shared" si="3"/>
        <v>#VALUE!</v>
      </c>
      <c r="AC8" s="2" t="e">
        <f t="shared" si="3"/>
        <v>#VALUE!</v>
      </c>
      <c r="AD8" s="2" t="e">
        <f t="shared" si="3"/>
        <v>#VALUE!</v>
      </c>
      <c r="AE8" s="2" t="e">
        <f t="shared" si="3"/>
        <v>#VALUE!</v>
      </c>
      <c r="AF8" s="2" t="e">
        <f t="shared" si="3"/>
        <v>#VALUE!</v>
      </c>
      <c r="AG8" s="2" t="e">
        <f t="shared" si="3"/>
        <v>#VALUE!</v>
      </c>
    </row>
    <row r="9" spans="1:33" x14ac:dyDescent="0.25">
      <c r="A9" s="2" t="str">
        <f>IF(MOD(A4,2)=0,RIGHT(A7,(A4/2)),0)</f>
        <v>4</v>
      </c>
      <c r="B9" s="2" t="e">
        <f t="shared" ref="B9:AG9" si="4">IF(MOD(B4,2)=0,RIGHT(B7,(B4/2)),0)</f>
        <v>#VALUE!</v>
      </c>
      <c r="C9" s="2" t="e">
        <f t="shared" si="4"/>
        <v>#VALUE!</v>
      </c>
      <c r="D9" s="2" t="e">
        <f t="shared" si="4"/>
        <v>#VALUE!</v>
      </c>
      <c r="E9" s="2" t="e">
        <f t="shared" si="4"/>
        <v>#VALUE!</v>
      </c>
      <c r="F9" s="2" t="e">
        <f t="shared" si="4"/>
        <v>#VALUE!</v>
      </c>
      <c r="G9" s="2" t="e">
        <f t="shared" si="4"/>
        <v>#VALUE!</v>
      </c>
      <c r="H9" s="2" t="e">
        <f t="shared" si="4"/>
        <v>#VALUE!</v>
      </c>
      <c r="I9" s="2" t="e">
        <f t="shared" si="4"/>
        <v>#VALUE!</v>
      </c>
      <c r="J9" s="2" t="e">
        <f t="shared" si="4"/>
        <v>#VALUE!</v>
      </c>
      <c r="K9" s="2" t="e">
        <f t="shared" si="4"/>
        <v>#VALUE!</v>
      </c>
      <c r="L9" s="2" t="e">
        <f t="shared" si="4"/>
        <v>#VALUE!</v>
      </c>
      <c r="M9" s="2" t="e">
        <f t="shared" si="4"/>
        <v>#VALUE!</v>
      </c>
      <c r="N9" s="2" t="e">
        <f t="shared" si="4"/>
        <v>#VALUE!</v>
      </c>
      <c r="O9" s="2" t="e">
        <f t="shared" si="4"/>
        <v>#VALUE!</v>
      </c>
      <c r="P9" s="2" t="e">
        <f t="shared" si="4"/>
        <v>#VALUE!</v>
      </c>
      <c r="Q9" s="2" t="e">
        <f t="shared" si="4"/>
        <v>#VALUE!</v>
      </c>
      <c r="R9" s="2" t="e">
        <f t="shared" si="4"/>
        <v>#VALUE!</v>
      </c>
      <c r="S9" s="2" t="e">
        <f t="shared" si="4"/>
        <v>#VALUE!</v>
      </c>
      <c r="T9" s="2" t="e">
        <f t="shared" si="4"/>
        <v>#VALUE!</v>
      </c>
      <c r="U9" s="2" t="e">
        <f t="shared" si="4"/>
        <v>#VALUE!</v>
      </c>
      <c r="V9" s="2" t="e">
        <f t="shared" si="4"/>
        <v>#VALUE!</v>
      </c>
      <c r="W9" s="2" t="e">
        <f t="shared" si="4"/>
        <v>#VALUE!</v>
      </c>
      <c r="X9" s="2" t="e">
        <f t="shared" si="4"/>
        <v>#VALUE!</v>
      </c>
      <c r="Y9" s="2" t="e">
        <f t="shared" si="4"/>
        <v>#VALUE!</v>
      </c>
      <c r="Z9" s="2" t="e">
        <f t="shared" si="4"/>
        <v>#VALUE!</v>
      </c>
      <c r="AA9" s="2" t="e">
        <f t="shared" si="4"/>
        <v>#VALUE!</v>
      </c>
      <c r="AB9" s="2" t="e">
        <f t="shared" si="4"/>
        <v>#VALUE!</v>
      </c>
      <c r="AC9" s="2" t="e">
        <f t="shared" si="4"/>
        <v>#VALUE!</v>
      </c>
      <c r="AD9" s="2" t="e">
        <f t="shared" si="4"/>
        <v>#VALUE!</v>
      </c>
      <c r="AE9" s="2" t="e">
        <f t="shared" si="4"/>
        <v>#VALUE!</v>
      </c>
      <c r="AF9" s="2" t="e">
        <f t="shared" si="4"/>
        <v>#VALUE!</v>
      </c>
      <c r="AG9" s="2" t="e">
        <f t="shared" si="4"/>
        <v>#VALUE!</v>
      </c>
    </row>
    <row r="10" spans="1:33" x14ac:dyDescent="0.25">
      <c r="A10" s="2" t="s">
        <v>39</v>
      </c>
    </row>
    <row r="11" spans="1:33" x14ac:dyDescent="0.25">
      <c r="A11" s="2" t="str">
        <f>RIGHT(A2,A5)</f>
        <v>46</v>
      </c>
      <c r="B11" s="2" t="e">
        <f t="shared" ref="B11:AG11" si="5">RIGHT(B2,B5)</f>
        <v>#VALUE!</v>
      </c>
      <c r="C11" s="2" t="e">
        <f t="shared" si="5"/>
        <v>#VALUE!</v>
      </c>
      <c r="D11" s="2" t="e">
        <f t="shared" si="5"/>
        <v>#VALUE!</v>
      </c>
      <c r="E11" s="2" t="e">
        <f t="shared" si="5"/>
        <v>#VALUE!</v>
      </c>
      <c r="F11" s="2" t="e">
        <f t="shared" si="5"/>
        <v>#VALUE!</v>
      </c>
      <c r="G11" s="2" t="e">
        <f t="shared" si="5"/>
        <v>#VALUE!</v>
      </c>
      <c r="H11" s="2" t="e">
        <f t="shared" si="5"/>
        <v>#VALUE!</v>
      </c>
      <c r="I11" s="2" t="e">
        <f t="shared" si="5"/>
        <v>#VALUE!</v>
      </c>
      <c r="J11" s="2" t="e">
        <f t="shared" si="5"/>
        <v>#VALUE!</v>
      </c>
      <c r="K11" s="2" t="e">
        <f t="shared" si="5"/>
        <v>#VALUE!</v>
      </c>
      <c r="L11" s="2" t="e">
        <f t="shared" si="5"/>
        <v>#VALUE!</v>
      </c>
      <c r="M11" s="2" t="e">
        <f t="shared" si="5"/>
        <v>#VALUE!</v>
      </c>
      <c r="N11" s="2" t="e">
        <f t="shared" si="5"/>
        <v>#VALUE!</v>
      </c>
      <c r="O11" s="2" t="e">
        <f t="shared" si="5"/>
        <v>#VALUE!</v>
      </c>
      <c r="P11" s="2" t="e">
        <f t="shared" si="5"/>
        <v>#VALUE!</v>
      </c>
      <c r="Q11" s="2" t="e">
        <f t="shared" si="5"/>
        <v>#VALUE!</v>
      </c>
      <c r="R11" s="2" t="e">
        <f t="shared" si="5"/>
        <v>#VALUE!</v>
      </c>
      <c r="S11" s="2" t="e">
        <f t="shared" si="5"/>
        <v>#VALUE!</v>
      </c>
      <c r="T11" s="2" t="e">
        <f t="shared" si="5"/>
        <v>#VALUE!</v>
      </c>
      <c r="U11" s="2" t="e">
        <f t="shared" si="5"/>
        <v>#VALUE!</v>
      </c>
      <c r="V11" s="2" t="e">
        <f t="shared" si="5"/>
        <v>#VALUE!</v>
      </c>
      <c r="W11" s="2" t="e">
        <f t="shared" si="5"/>
        <v>#VALUE!</v>
      </c>
      <c r="X11" s="2" t="e">
        <f t="shared" si="5"/>
        <v>#VALUE!</v>
      </c>
      <c r="Y11" s="2" t="e">
        <f t="shared" si="5"/>
        <v>#VALUE!</v>
      </c>
      <c r="Z11" s="2" t="e">
        <f t="shared" si="5"/>
        <v>#VALUE!</v>
      </c>
      <c r="AA11" s="2" t="e">
        <f t="shared" si="5"/>
        <v>#VALUE!</v>
      </c>
      <c r="AB11" s="2" t="e">
        <f t="shared" si="5"/>
        <v>#VALUE!</v>
      </c>
      <c r="AC11" s="2" t="e">
        <f t="shared" si="5"/>
        <v>#VALUE!</v>
      </c>
      <c r="AD11" s="2" t="e">
        <f t="shared" si="5"/>
        <v>#VALUE!</v>
      </c>
      <c r="AE11" s="2" t="e">
        <f t="shared" si="5"/>
        <v>#VALUE!</v>
      </c>
      <c r="AF11" s="2" t="e">
        <f t="shared" si="5"/>
        <v>#VALUE!</v>
      </c>
      <c r="AG11" s="2" t="e">
        <f t="shared" si="5"/>
        <v>#VALUE!</v>
      </c>
    </row>
    <row r="12" spans="1:33" x14ac:dyDescent="0.25">
      <c r="A12" s="2" t="str">
        <f>IF(MOD(A5,2)=0,LEFT(A11,(A5/2)),0)</f>
        <v>4</v>
      </c>
      <c r="B12" s="2" t="e">
        <f t="shared" ref="B12:AG12" si="6">IF(MOD(B5,2)=0,LEFT(B11,(B5/2)),0)</f>
        <v>#VALUE!</v>
      </c>
      <c r="C12" s="2" t="e">
        <f t="shared" si="6"/>
        <v>#VALUE!</v>
      </c>
      <c r="D12" s="2" t="e">
        <f t="shared" si="6"/>
        <v>#VALUE!</v>
      </c>
      <c r="E12" s="2" t="e">
        <f t="shared" si="6"/>
        <v>#VALUE!</v>
      </c>
      <c r="F12" s="2" t="e">
        <f t="shared" si="6"/>
        <v>#VALUE!</v>
      </c>
      <c r="G12" s="2" t="e">
        <f t="shared" si="6"/>
        <v>#VALUE!</v>
      </c>
      <c r="H12" s="2" t="e">
        <f t="shared" si="6"/>
        <v>#VALUE!</v>
      </c>
      <c r="I12" s="2" t="e">
        <f t="shared" si="6"/>
        <v>#VALUE!</v>
      </c>
      <c r="J12" s="2" t="e">
        <f t="shared" si="6"/>
        <v>#VALUE!</v>
      </c>
      <c r="K12" s="2" t="e">
        <f t="shared" si="6"/>
        <v>#VALUE!</v>
      </c>
      <c r="L12" s="2" t="e">
        <f t="shared" si="6"/>
        <v>#VALUE!</v>
      </c>
      <c r="M12" s="2" t="e">
        <f t="shared" si="6"/>
        <v>#VALUE!</v>
      </c>
      <c r="N12" s="2" t="e">
        <f t="shared" si="6"/>
        <v>#VALUE!</v>
      </c>
      <c r="O12" s="2" t="e">
        <f t="shared" si="6"/>
        <v>#VALUE!</v>
      </c>
      <c r="P12" s="2" t="e">
        <f t="shared" si="6"/>
        <v>#VALUE!</v>
      </c>
      <c r="Q12" s="2" t="e">
        <f t="shared" si="6"/>
        <v>#VALUE!</v>
      </c>
      <c r="R12" s="2" t="e">
        <f t="shared" si="6"/>
        <v>#VALUE!</v>
      </c>
      <c r="S12" s="2" t="e">
        <f t="shared" si="6"/>
        <v>#VALUE!</v>
      </c>
      <c r="T12" s="2" t="e">
        <f t="shared" si="6"/>
        <v>#VALUE!</v>
      </c>
      <c r="U12" s="2" t="e">
        <f t="shared" si="6"/>
        <v>#VALUE!</v>
      </c>
      <c r="V12" s="2" t="e">
        <f t="shared" si="6"/>
        <v>#VALUE!</v>
      </c>
      <c r="W12" s="2" t="e">
        <f t="shared" si="6"/>
        <v>#VALUE!</v>
      </c>
      <c r="X12" s="2" t="e">
        <f t="shared" si="6"/>
        <v>#VALUE!</v>
      </c>
      <c r="Y12" s="2" t="e">
        <f t="shared" si="6"/>
        <v>#VALUE!</v>
      </c>
      <c r="Z12" s="2" t="e">
        <f t="shared" si="6"/>
        <v>#VALUE!</v>
      </c>
      <c r="AA12" s="2" t="e">
        <f t="shared" si="6"/>
        <v>#VALUE!</v>
      </c>
      <c r="AB12" s="2" t="e">
        <f t="shared" si="6"/>
        <v>#VALUE!</v>
      </c>
      <c r="AC12" s="2" t="e">
        <f t="shared" si="6"/>
        <v>#VALUE!</v>
      </c>
      <c r="AD12" s="2" t="e">
        <f t="shared" si="6"/>
        <v>#VALUE!</v>
      </c>
      <c r="AE12" s="2" t="e">
        <f t="shared" si="6"/>
        <v>#VALUE!</v>
      </c>
      <c r="AF12" s="2" t="e">
        <f t="shared" si="6"/>
        <v>#VALUE!</v>
      </c>
      <c r="AG12" s="2" t="e">
        <f t="shared" si="6"/>
        <v>#VALUE!</v>
      </c>
    </row>
    <row r="13" spans="1:33" x14ac:dyDescent="0.25">
      <c r="A13" s="2" t="str">
        <f>IF(MOD(A5,2)=0,RIGHT(A11,(A5/2)),0)</f>
        <v>6</v>
      </c>
      <c r="B13" s="2" t="e">
        <f t="shared" ref="B13:AG13" si="7">IF(MOD(B5,2)=0,RIGHT(B11,(B5/2)),0)</f>
        <v>#VALUE!</v>
      </c>
      <c r="C13" s="2" t="e">
        <f t="shared" si="7"/>
        <v>#VALUE!</v>
      </c>
      <c r="D13" s="2" t="e">
        <f t="shared" si="7"/>
        <v>#VALUE!</v>
      </c>
      <c r="E13" s="2" t="e">
        <f t="shared" si="7"/>
        <v>#VALUE!</v>
      </c>
      <c r="F13" s="2" t="e">
        <f t="shared" si="7"/>
        <v>#VALUE!</v>
      </c>
      <c r="G13" s="2" t="e">
        <f t="shared" si="7"/>
        <v>#VALUE!</v>
      </c>
      <c r="H13" s="2" t="e">
        <f t="shared" si="7"/>
        <v>#VALUE!</v>
      </c>
      <c r="I13" s="2" t="e">
        <f t="shared" si="7"/>
        <v>#VALUE!</v>
      </c>
      <c r="J13" s="2" t="e">
        <f t="shared" si="7"/>
        <v>#VALUE!</v>
      </c>
      <c r="K13" s="2" t="e">
        <f t="shared" si="7"/>
        <v>#VALUE!</v>
      </c>
      <c r="L13" s="2" t="e">
        <f t="shared" si="7"/>
        <v>#VALUE!</v>
      </c>
      <c r="M13" s="2" t="e">
        <f t="shared" si="7"/>
        <v>#VALUE!</v>
      </c>
      <c r="N13" s="2" t="e">
        <f t="shared" si="7"/>
        <v>#VALUE!</v>
      </c>
      <c r="O13" s="2" t="e">
        <f t="shared" si="7"/>
        <v>#VALUE!</v>
      </c>
      <c r="P13" s="2" t="e">
        <f t="shared" si="7"/>
        <v>#VALUE!</v>
      </c>
      <c r="Q13" s="2" t="e">
        <f t="shared" si="7"/>
        <v>#VALUE!</v>
      </c>
      <c r="R13" s="2" t="e">
        <f t="shared" si="7"/>
        <v>#VALUE!</v>
      </c>
      <c r="S13" s="2" t="e">
        <f t="shared" si="7"/>
        <v>#VALUE!</v>
      </c>
      <c r="T13" s="2" t="e">
        <f t="shared" si="7"/>
        <v>#VALUE!</v>
      </c>
      <c r="U13" s="2" t="e">
        <f t="shared" si="7"/>
        <v>#VALUE!</v>
      </c>
      <c r="V13" s="2" t="e">
        <f t="shared" si="7"/>
        <v>#VALUE!</v>
      </c>
      <c r="W13" s="2" t="e">
        <f t="shared" si="7"/>
        <v>#VALUE!</v>
      </c>
      <c r="X13" s="2" t="e">
        <f t="shared" si="7"/>
        <v>#VALUE!</v>
      </c>
      <c r="Y13" s="2" t="e">
        <f t="shared" si="7"/>
        <v>#VALUE!</v>
      </c>
      <c r="Z13" s="2" t="e">
        <f t="shared" si="7"/>
        <v>#VALUE!</v>
      </c>
      <c r="AA13" s="2" t="e">
        <f t="shared" si="7"/>
        <v>#VALUE!</v>
      </c>
      <c r="AB13" s="2" t="e">
        <f t="shared" si="7"/>
        <v>#VALUE!</v>
      </c>
      <c r="AC13" s="2" t="e">
        <f t="shared" si="7"/>
        <v>#VALUE!</v>
      </c>
      <c r="AD13" s="2" t="e">
        <f t="shared" si="7"/>
        <v>#VALUE!</v>
      </c>
      <c r="AE13" s="2" t="e">
        <f t="shared" si="7"/>
        <v>#VALUE!</v>
      </c>
      <c r="AF13" s="2" t="e">
        <f t="shared" si="7"/>
        <v>#VALUE!</v>
      </c>
      <c r="AG13" s="2" t="e">
        <f t="shared" si="7"/>
        <v>#VALUE!</v>
      </c>
    </row>
    <row r="14" spans="1:33" x14ac:dyDescent="0.25">
      <c r="A14" s="2" t="s">
        <v>11</v>
      </c>
    </row>
    <row r="15" spans="1:33" x14ac:dyDescent="0.25">
      <c r="A15" s="2">
        <f>IF(AND((A4=A5),(MOD(A4,2)=0)),(POWER(10,(A4/2))+1),0)</f>
        <v>11</v>
      </c>
      <c r="B15" s="2" t="e">
        <f t="shared" ref="B15:AG15" si="8">IF(AND((B4=B5),(MOD(B4,2)=0)),(POWER(10,(B4/2))+1),0)</f>
        <v>#VALUE!</v>
      </c>
      <c r="C15" s="2" t="e">
        <f t="shared" si="8"/>
        <v>#VALUE!</v>
      </c>
      <c r="D15" s="2" t="e">
        <f t="shared" si="8"/>
        <v>#VALUE!</v>
      </c>
      <c r="E15" s="2" t="e">
        <f t="shared" si="8"/>
        <v>#VALUE!</v>
      </c>
      <c r="F15" s="2" t="e">
        <f t="shared" si="8"/>
        <v>#VALUE!</v>
      </c>
      <c r="G15" s="2" t="e">
        <f t="shared" si="8"/>
        <v>#VALUE!</v>
      </c>
      <c r="H15" s="2" t="e">
        <f t="shared" si="8"/>
        <v>#VALUE!</v>
      </c>
      <c r="I15" s="2" t="e">
        <f t="shared" si="8"/>
        <v>#VALUE!</v>
      </c>
      <c r="J15" s="2" t="e">
        <f t="shared" si="8"/>
        <v>#VALUE!</v>
      </c>
      <c r="K15" s="2" t="e">
        <f t="shared" si="8"/>
        <v>#VALUE!</v>
      </c>
      <c r="L15" s="2" t="e">
        <f t="shared" si="8"/>
        <v>#VALUE!</v>
      </c>
      <c r="M15" s="2" t="e">
        <f t="shared" si="8"/>
        <v>#VALUE!</v>
      </c>
      <c r="N15" s="2" t="e">
        <f t="shared" si="8"/>
        <v>#VALUE!</v>
      </c>
      <c r="O15" s="2" t="e">
        <f t="shared" si="8"/>
        <v>#VALUE!</v>
      </c>
      <c r="P15" s="2" t="e">
        <f t="shared" si="8"/>
        <v>#VALUE!</v>
      </c>
      <c r="Q15" s="2" t="e">
        <f t="shared" si="8"/>
        <v>#VALUE!</v>
      </c>
      <c r="R15" s="2" t="e">
        <f t="shared" si="8"/>
        <v>#VALUE!</v>
      </c>
      <c r="S15" s="2" t="e">
        <f t="shared" si="8"/>
        <v>#VALUE!</v>
      </c>
      <c r="T15" s="2" t="e">
        <f t="shared" si="8"/>
        <v>#VALUE!</v>
      </c>
      <c r="U15" s="2" t="e">
        <f t="shared" si="8"/>
        <v>#VALUE!</v>
      </c>
      <c r="V15" s="2" t="e">
        <f t="shared" si="8"/>
        <v>#VALUE!</v>
      </c>
      <c r="W15" s="2" t="e">
        <f t="shared" si="8"/>
        <v>#VALUE!</v>
      </c>
      <c r="X15" s="2" t="e">
        <f t="shared" si="8"/>
        <v>#VALUE!</v>
      </c>
      <c r="Y15" s="2" t="e">
        <f t="shared" si="8"/>
        <v>#VALUE!</v>
      </c>
      <c r="Z15" s="2" t="e">
        <f t="shared" si="8"/>
        <v>#VALUE!</v>
      </c>
      <c r="AA15" s="2" t="e">
        <f t="shared" si="8"/>
        <v>#VALUE!</v>
      </c>
      <c r="AB15" s="2" t="e">
        <f t="shared" si="8"/>
        <v>#VALUE!</v>
      </c>
      <c r="AC15" s="2" t="e">
        <f t="shared" si="8"/>
        <v>#VALUE!</v>
      </c>
      <c r="AD15" s="2" t="e">
        <f t="shared" si="8"/>
        <v>#VALUE!</v>
      </c>
      <c r="AE15" s="2" t="e">
        <f t="shared" si="8"/>
        <v>#VALUE!</v>
      </c>
      <c r="AF15" s="2" t="e">
        <f t="shared" si="8"/>
        <v>#VALUE!</v>
      </c>
      <c r="AG15" s="2" t="e">
        <f t="shared" si="8"/>
        <v>#VALUE!</v>
      </c>
    </row>
    <row r="16" spans="1:33" x14ac:dyDescent="0.25">
      <c r="A16" s="2">
        <f>IF(AND((A4=A5),(MOD(A4,2)=0)),1,0)</f>
        <v>1</v>
      </c>
      <c r="B16" s="2" t="e">
        <f t="shared" ref="B16:AG16" si="9">IF(AND((B4=B5),(MOD(B4,2)=0)),1,0)</f>
        <v>#VALUE!</v>
      </c>
      <c r="C16" s="2" t="e">
        <f t="shared" si="9"/>
        <v>#VALUE!</v>
      </c>
      <c r="D16" s="2" t="e">
        <f t="shared" si="9"/>
        <v>#VALUE!</v>
      </c>
      <c r="E16" s="2" t="e">
        <f t="shared" si="9"/>
        <v>#VALUE!</v>
      </c>
      <c r="F16" s="2" t="e">
        <f t="shared" si="9"/>
        <v>#VALUE!</v>
      </c>
      <c r="G16" s="2" t="e">
        <f t="shared" si="9"/>
        <v>#VALUE!</v>
      </c>
      <c r="H16" s="2" t="e">
        <f t="shared" si="9"/>
        <v>#VALUE!</v>
      </c>
      <c r="I16" s="2" t="e">
        <f t="shared" si="9"/>
        <v>#VALUE!</v>
      </c>
      <c r="J16" s="2" t="e">
        <f t="shared" si="9"/>
        <v>#VALUE!</v>
      </c>
      <c r="K16" s="2" t="e">
        <f t="shared" si="9"/>
        <v>#VALUE!</v>
      </c>
      <c r="L16" s="2" t="e">
        <f t="shared" si="9"/>
        <v>#VALUE!</v>
      </c>
      <c r="M16" s="2" t="e">
        <f t="shared" si="9"/>
        <v>#VALUE!</v>
      </c>
      <c r="N16" s="2" t="e">
        <f t="shared" si="9"/>
        <v>#VALUE!</v>
      </c>
      <c r="O16" s="2" t="e">
        <f t="shared" si="9"/>
        <v>#VALUE!</v>
      </c>
      <c r="P16" s="2" t="e">
        <f t="shared" si="9"/>
        <v>#VALUE!</v>
      </c>
      <c r="Q16" s="2" t="e">
        <f t="shared" si="9"/>
        <v>#VALUE!</v>
      </c>
      <c r="R16" s="2" t="e">
        <f t="shared" si="9"/>
        <v>#VALUE!</v>
      </c>
      <c r="S16" s="2" t="e">
        <f t="shared" si="9"/>
        <v>#VALUE!</v>
      </c>
      <c r="T16" s="2" t="e">
        <f t="shared" si="9"/>
        <v>#VALUE!</v>
      </c>
      <c r="U16" s="2" t="e">
        <f t="shared" si="9"/>
        <v>#VALUE!</v>
      </c>
      <c r="V16" s="2" t="e">
        <f t="shared" si="9"/>
        <v>#VALUE!</v>
      </c>
      <c r="W16" s="2" t="e">
        <f t="shared" si="9"/>
        <v>#VALUE!</v>
      </c>
      <c r="X16" s="2" t="e">
        <f t="shared" si="9"/>
        <v>#VALUE!</v>
      </c>
      <c r="Y16" s="2" t="e">
        <f t="shared" si="9"/>
        <v>#VALUE!</v>
      </c>
      <c r="Z16" s="2" t="e">
        <f t="shared" si="9"/>
        <v>#VALUE!</v>
      </c>
      <c r="AA16" s="2" t="e">
        <f t="shared" si="9"/>
        <v>#VALUE!</v>
      </c>
      <c r="AB16" s="2" t="e">
        <f t="shared" si="9"/>
        <v>#VALUE!</v>
      </c>
      <c r="AC16" s="2" t="e">
        <f t="shared" si="9"/>
        <v>#VALUE!</v>
      </c>
      <c r="AD16" s="2" t="e">
        <f t="shared" si="9"/>
        <v>#VALUE!</v>
      </c>
      <c r="AE16" s="2" t="e">
        <f t="shared" si="9"/>
        <v>#VALUE!</v>
      </c>
      <c r="AF16" s="2" t="e">
        <f t="shared" si="9"/>
        <v>#VALUE!</v>
      </c>
      <c r="AG16" s="2" t="e">
        <f t="shared" si="9"/>
        <v>#VALUE!</v>
      </c>
    </row>
    <row r="17" spans="1:33" x14ac:dyDescent="0.25">
      <c r="A17" s="3">
        <f>IF(AND(A8&gt;=A9,A16=1,A8*A15 &lt;= VALUE(A11)),A8*A15,0)</f>
        <v>0</v>
      </c>
      <c r="B17" s="3" t="e">
        <f t="shared" ref="B17:AG17" si="10">IF(AND(B8&gt;=B9,B16=1,B8*B15 &lt;= VALUE(B11)),B8*B15,0)</f>
        <v>#VALUE!</v>
      </c>
      <c r="C17" s="3" t="e">
        <f t="shared" si="10"/>
        <v>#VALUE!</v>
      </c>
      <c r="D17" s="3" t="e">
        <f t="shared" si="10"/>
        <v>#VALUE!</v>
      </c>
      <c r="E17" s="3" t="e">
        <f t="shared" si="10"/>
        <v>#VALUE!</v>
      </c>
      <c r="F17" s="3" t="e">
        <f t="shared" si="10"/>
        <v>#VALUE!</v>
      </c>
      <c r="G17" s="3" t="e">
        <f t="shared" si="10"/>
        <v>#VALUE!</v>
      </c>
      <c r="H17" s="3" t="e">
        <f t="shared" si="10"/>
        <v>#VALUE!</v>
      </c>
      <c r="I17" s="3" t="e">
        <f t="shared" si="10"/>
        <v>#VALUE!</v>
      </c>
      <c r="J17" s="3" t="e">
        <f t="shared" si="10"/>
        <v>#VALUE!</v>
      </c>
      <c r="K17" s="3" t="e">
        <f t="shared" si="10"/>
        <v>#VALUE!</v>
      </c>
      <c r="L17" s="3" t="e">
        <f t="shared" si="10"/>
        <v>#VALUE!</v>
      </c>
      <c r="M17" s="3" t="e">
        <f t="shared" si="10"/>
        <v>#VALUE!</v>
      </c>
      <c r="N17" s="3" t="e">
        <f t="shared" si="10"/>
        <v>#VALUE!</v>
      </c>
      <c r="O17" s="3" t="e">
        <f t="shared" si="10"/>
        <v>#VALUE!</v>
      </c>
      <c r="P17" s="3" t="e">
        <f t="shared" si="10"/>
        <v>#VALUE!</v>
      </c>
      <c r="Q17" s="3" t="e">
        <f t="shared" si="10"/>
        <v>#VALUE!</v>
      </c>
      <c r="R17" s="3" t="e">
        <f t="shared" si="10"/>
        <v>#VALUE!</v>
      </c>
      <c r="S17" s="3" t="e">
        <f t="shared" si="10"/>
        <v>#VALUE!</v>
      </c>
      <c r="T17" s="3" t="e">
        <f t="shared" si="10"/>
        <v>#VALUE!</v>
      </c>
      <c r="U17" s="3" t="e">
        <f t="shared" si="10"/>
        <v>#VALUE!</v>
      </c>
      <c r="V17" s="3" t="e">
        <f t="shared" si="10"/>
        <v>#VALUE!</v>
      </c>
      <c r="W17" s="3" t="e">
        <f t="shared" si="10"/>
        <v>#VALUE!</v>
      </c>
      <c r="X17" s="3" t="e">
        <f t="shared" si="10"/>
        <v>#VALUE!</v>
      </c>
      <c r="Y17" s="3" t="e">
        <f t="shared" si="10"/>
        <v>#VALUE!</v>
      </c>
      <c r="Z17" s="3" t="e">
        <f t="shared" si="10"/>
        <v>#VALUE!</v>
      </c>
      <c r="AA17" s="3" t="e">
        <f t="shared" si="10"/>
        <v>#VALUE!</v>
      </c>
      <c r="AB17" s="3" t="e">
        <f t="shared" si="10"/>
        <v>#VALUE!</v>
      </c>
      <c r="AC17" s="3" t="e">
        <f t="shared" si="10"/>
        <v>#VALUE!</v>
      </c>
      <c r="AD17" s="3" t="e">
        <f t="shared" si="10"/>
        <v>#VALUE!</v>
      </c>
      <c r="AE17" s="3" t="e">
        <f t="shared" si="10"/>
        <v>#VALUE!</v>
      </c>
      <c r="AF17" s="3" t="e">
        <f t="shared" si="10"/>
        <v>#VALUE!</v>
      </c>
      <c r="AG17" s="3" t="e">
        <f t="shared" si="10"/>
        <v>#VALUE!</v>
      </c>
    </row>
    <row r="18" spans="1:33" x14ac:dyDescent="0.25">
      <c r="A18" s="3">
        <f>IF(AND(A12&lt;=A13,A16=1, A12*A15 &gt;= VALUE(A7)),A12*A15,0)</f>
        <v>44</v>
      </c>
      <c r="B18" s="3" t="e">
        <f t="shared" ref="B18:AF18" si="11">IF(AND(B12&lt;=B13,B16=1, B12*B15 &gt;= VALUE(B7)),B12*B15,0)</f>
        <v>#VALUE!</v>
      </c>
      <c r="C18" s="3" t="e">
        <f t="shared" si="11"/>
        <v>#VALUE!</v>
      </c>
      <c r="D18" s="3" t="e">
        <f t="shared" si="11"/>
        <v>#VALUE!</v>
      </c>
      <c r="E18" s="3" t="e">
        <f t="shared" si="11"/>
        <v>#VALUE!</v>
      </c>
      <c r="F18" s="3" t="e">
        <f t="shared" si="11"/>
        <v>#VALUE!</v>
      </c>
      <c r="G18" s="3" t="e">
        <f t="shared" si="11"/>
        <v>#VALUE!</v>
      </c>
      <c r="H18" s="3" t="e">
        <f t="shared" si="11"/>
        <v>#VALUE!</v>
      </c>
      <c r="I18" s="3" t="e">
        <f t="shared" si="11"/>
        <v>#VALUE!</v>
      </c>
      <c r="J18" s="3" t="e">
        <f t="shared" si="11"/>
        <v>#VALUE!</v>
      </c>
      <c r="K18" s="3" t="e">
        <f t="shared" si="11"/>
        <v>#VALUE!</v>
      </c>
      <c r="L18" s="3" t="e">
        <f t="shared" si="11"/>
        <v>#VALUE!</v>
      </c>
      <c r="M18" s="3" t="e">
        <f t="shared" si="11"/>
        <v>#VALUE!</v>
      </c>
      <c r="N18" s="3" t="e">
        <f t="shared" si="11"/>
        <v>#VALUE!</v>
      </c>
      <c r="O18" s="3" t="e">
        <f t="shared" si="11"/>
        <v>#VALUE!</v>
      </c>
      <c r="P18" s="3" t="e">
        <f t="shared" si="11"/>
        <v>#VALUE!</v>
      </c>
      <c r="Q18" s="3" t="e">
        <f t="shared" si="11"/>
        <v>#VALUE!</v>
      </c>
      <c r="R18" s="3" t="e">
        <f t="shared" si="11"/>
        <v>#VALUE!</v>
      </c>
      <c r="S18" s="3" t="e">
        <f t="shared" si="11"/>
        <v>#VALUE!</v>
      </c>
      <c r="T18" s="3" t="e">
        <f t="shared" si="11"/>
        <v>#VALUE!</v>
      </c>
      <c r="U18" s="3" t="e">
        <f t="shared" si="11"/>
        <v>#VALUE!</v>
      </c>
      <c r="V18" s="3" t="e">
        <f t="shared" si="11"/>
        <v>#VALUE!</v>
      </c>
      <c r="W18" s="3" t="e">
        <f t="shared" si="11"/>
        <v>#VALUE!</v>
      </c>
      <c r="X18" s="3" t="e">
        <f t="shared" si="11"/>
        <v>#VALUE!</v>
      </c>
      <c r="Y18" s="3" t="e">
        <f t="shared" si="11"/>
        <v>#VALUE!</v>
      </c>
      <c r="Z18" s="3" t="e">
        <f t="shared" si="11"/>
        <v>#VALUE!</v>
      </c>
      <c r="AA18" s="3" t="e">
        <f t="shared" si="11"/>
        <v>#VALUE!</v>
      </c>
      <c r="AB18" s="3" t="e">
        <f t="shared" si="11"/>
        <v>#VALUE!</v>
      </c>
      <c r="AC18" s="3" t="e">
        <f t="shared" si="11"/>
        <v>#VALUE!</v>
      </c>
      <c r="AD18" s="3" t="e">
        <f t="shared" si="11"/>
        <v>#VALUE!</v>
      </c>
      <c r="AE18" s="3" t="e">
        <f t="shared" si="11"/>
        <v>#VALUE!</v>
      </c>
      <c r="AF18" s="3" t="e">
        <f t="shared" si="11"/>
        <v>#VALUE!</v>
      </c>
      <c r="AG18" s="3" t="e">
        <f>IF(AND(AG12&lt;=AG13,AG16=1, AG12*AG15 &gt;= VALUE(AG7)),AG12*AG15,0)</f>
        <v>#VALUE!</v>
      </c>
    </row>
    <row r="19" spans="1:33" x14ac:dyDescent="0.25">
      <c r="A19" s="3">
        <f>IF(AND(A12-A8 &gt;1,A16=1),(((A12-1-A8-1+1)*(A12+A8))/2)*A15,0)</f>
        <v>33</v>
      </c>
      <c r="B19" s="3" t="e">
        <f t="shared" ref="B19:AG19" si="12">IF(AND(B12-B8 &gt;1,B16=1),(((B12-1-B8-1+1)*(B12+B8))/2)*B15,0)</f>
        <v>#VALUE!</v>
      </c>
      <c r="C19" s="3" t="e">
        <f t="shared" si="12"/>
        <v>#VALUE!</v>
      </c>
      <c r="D19" s="3" t="e">
        <f t="shared" si="12"/>
        <v>#VALUE!</v>
      </c>
      <c r="E19" s="3" t="e">
        <f t="shared" si="12"/>
        <v>#VALUE!</v>
      </c>
      <c r="F19" s="3" t="e">
        <f t="shared" si="12"/>
        <v>#VALUE!</v>
      </c>
      <c r="G19" s="3" t="e">
        <f t="shared" si="12"/>
        <v>#VALUE!</v>
      </c>
      <c r="H19" s="3" t="e">
        <f t="shared" si="12"/>
        <v>#VALUE!</v>
      </c>
      <c r="I19" s="3" t="e">
        <f t="shared" si="12"/>
        <v>#VALUE!</v>
      </c>
      <c r="J19" s="3" t="e">
        <f t="shared" si="12"/>
        <v>#VALUE!</v>
      </c>
      <c r="K19" s="3" t="e">
        <f t="shared" si="12"/>
        <v>#VALUE!</v>
      </c>
      <c r="L19" s="3" t="e">
        <f t="shared" si="12"/>
        <v>#VALUE!</v>
      </c>
      <c r="M19" s="3" t="e">
        <f t="shared" si="12"/>
        <v>#VALUE!</v>
      </c>
      <c r="N19" s="3" t="e">
        <f t="shared" si="12"/>
        <v>#VALUE!</v>
      </c>
      <c r="O19" s="3" t="e">
        <f t="shared" si="12"/>
        <v>#VALUE!</v>
      </c>
      <c r="P19" s="3" t="e">
        <f t="shared" si="12"/>
        <v>#VALUE!</v>
      </c>
      <c r="Q19" s="3" t="e">
        <f t="shared" si="12"/>
        <v>#VALUE!</v>
      </c>
      <c r="R19" s="3" t="e">
        <f t="shared" si="12"/>
        <v>#VALUE!</v>
      </c>
      <c r="S19" s="3" t="e">
        <f t="shared" si="12"/>
        <v>#VALUE!</v>
      </c>
      <c r="T19" s="3" t="e">
        <f t="shared" si="12"/>
        <v>#VALUE!</v>
      </c>
      <c r="U19" s="3" t="e">
        <f t="shared" si="12"/>
        <v>#VALUE!</v>
      </c>
      <c r="V19" s="3" t="e">
        <f t="shared" si="12"/>
        <v>#VALUE!</v>
      </c>
      <c r="W19" s="3" t="e">
        <f t="shared" si="12"/>
        <v>#VALUE!</v>
      </c>
      <c r="X19" s="3" t="e">
        <f t="shared" si="12"/>
        <v>#VALUE!</v>
      </c>
      <c r="Y19" s="3" t="e">
        <f t="shared" si="12"/>
        <v>#VALUE!</v>
      </c>
      <c r="Z19" s="3" t="e">
        <f t="shared" si="12"/>
        <v>#VALUE!</v>
      </c>
      <c r="AA19" s="3" t="e">
        <f t="shared" si="12"/>
        <v>#VALUE!</v>
      </c>
      <c r="AB19" s="3" t="e">
        <f t="shared" si="12"/>
        <v>#VALUE!</v>
      </c>
      <c r="AC19" s="3" t="e">
        <f t="shared" si="12"/>
        <v>#VALUE!</v>
      </c>
      <c r="AD19" s="3" t="e">
        <f t="shared" si="12"/>
        <v>#VALUE!</v>
      </c>
      <c r="AE19" s="3" t="e">
        <f t="shared" si="12"/>
        <v>#VALUE!</v>
      </c>
      <c r="AF19" s="3" t="e">
        <f t="shared" si="12"/>
        <v>#VALUE!</v>
      </c>
      <c r="AG19" s="3" t="e">
        <f t="shared" si="12"/>
        <v>#VALUE!</v>
      </c>
    </row>
    <row r="20" spans="1:33" x14ac:dyDescent="0.25">
      <c r="A20" s="3">
        <f>IF(AND(A17 =A18,OR(A17&gt;0,A18&gt;0)),A17,A17+A18)</f>
        <v>44</v>
      </c>
      <c r="B20" s="3" t="e">
        <f t="shared" ref="B20:AG20" si="13">IF(AND(B17 =B18,OR(B17&gt;0,B18&gt;0)),B17,B17+B18)</f>
        <v>#VALUE!</v>
      </c>
      <c r="C20" s="3" t="e">
        <f t="shared" si="13"/>
        <v>#VALUE!</v>
      </c>
      <c r="D20" s="3" t="e">
        <f t="shared" si="13"/>
        <v>#VALUE!</v>
      </c>
      <c r="E20" s="3" t="e">
        <f t="shared" si="13"/>
        <v>#VALUE!</v>
      </c>
      <c r="F20" s="3" t="e">
        <f t="shared" si="13"/>
        <v>#VALUE!</v>
      </c>
      <c r="G20" s="3" t="e">
        <f t="shared" si="13"/>
        <v>#VALUE!</v>
      </c>
      <c r="H20" s="3" t="e">
        <f t="shared" si="13"/>
        <v>#VALUE!</v>
      </c>
      <c r="I20" s="3" t="e">
        <f t="shared" si="13"/>
        <v>#VALUE!</v>
      </c>
      <c r="J20" s="3" t="e">
        <f t="shared" si="13"/>
        <v>#VALUE!</v>
      </c>
      <c r="K20" s="3" t="e">
        <f t="shared" si="13"/>
        <v>#VALUE!</v>
      </c>
      <c r="L20" s="3" t="e">
        <f t="shared" si="13"/>
        <v>#VALUE!</v>
      </c>
      <c r="M20" s="3" t="e">
        <f t="shared" si="13"/>
        <v>#VALUE!</v>
      </c>
      <c r="N20" s="3" t="e">
        <f t="shared" si="13"/>
        <v>#VALUE!</v>
      </c>
      <c r="O20" s="3" t="e">
        <f t="shared" si="13"/>
        <v>#VALUE!</v>
      </c>
      <c r="P20" s="3" t="e">
        <f t="shared" si="13"/>
        <v>#VALUE!</v>
      </c>
      <c r="Q20" s="3" t="e">
        <f t="shared" si="13"/>
        <v>#VALUE!</v>
      </c>
      <c r="R20" s="3" t="e">
        <f t="shared" si="13"/>
        <v>#VALUE!</v>
      </c>
      <c r="S20" s="3" t="e">
        <f t="shared" si="13"/>
        <v>#VALUE!</v>
      </c>
      <c r="T20" s="3" t="e">
        <f t="shared" si="13"/>
        <v>#VALUE!</v>
      </c>
      <c r="U20" s="3" t="e">
        <f t="shared" si="13"/>
        <v>#VALUE!</v>
      </c>
      <c r="V20" s="3" t="e">
        <f t="shared" si="13"/>
        <v>#VALUE!</v>
      </c>
      <c r="W20" s="3" t="e">
        <f t="shared" si="13"/>
        <v>#VALUE!</v>
      </c>
      <c r="X20" s="3" t="e">
        <f t="shared" si="13"/>
        <v>#VALUE!</v>
      </c>
      <c r="Y20" s="3" t="e">
        <f t="shared" si="13"/>
        <v>#VALUE!</v>
      </c>
      <c r="Z20" s="3" t="e">
        <f t="shared" si="13"/>
        <v>#VALUE!</v>
      </c>
      <c r="AA20" s="3" t="e">
        <f t="shared" si="13"/>
        <v>#VALUE!</v>
      </c>
      <c r="AB20" s="3" t="e">
        <f t="shared" si="13"/>
        <v>#VALUE!</v>
      </c>
      <c r="AC20" s="3" t="e">
        <f t="shared" si="13"/>
        <v>#VALUE!</v>
      </c>
      <c r="AD20" s="3" t="e">
        <f t="shared" si="13"/>
        <v>#VALUE!</v>
      </c>
      <c r="AE20" s="3" t="e">
        <f t="shared" si="13"/>
        <v>#VALUE!</v>
      </c>
      <c r="AF20" s="3" t="e">
        <f t="shared" si="13"/>
        <v>#VALUE!</v>
      </c>
      <c r="AG20" s="3" t="e">
        <f t="shared" si="13"/>
        <v>#VALUE!</v>
      </c>
    </row>
    <row r="21" spans="1:33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3" spans="1:33" x14ac:dyDescent="0.25">
      <c r="A23" s="2" t="s">
        <v>12</v>
      </c>
    </row>
    <row r="24" spans="1:33" x14ac:dyDescent="0.25">
      <c r="A24" s="2">
        <f>IF(AND(MOD(A4,2)=0, A4 &lt; A5),1,0)</f>
        <v>0</v>
      </c>
      <c r="B24" s="2" t="e">
        <f t="shared" ref="B24:AG24" si="14">IF(AND(MOD(B4,2)=0, B4 &lt; B5),1,0)</f>
        <v>#VALUE!</v>
      </c>
      <c r="C24" s="2" t="e">
        <f t="shared" si="14"/>
        <v>#VALUE!</v>
      </c>
      <c r="D24" s="2" t="e">
        <f t="shared" si="14"/>
        <v>#VALUE!</v>
      </c>
      <c r="E24" s="2" t="e">
        <f t="shared" si="14"/>
        <v>#VALUE!</v>
      </c>
      <c r="F24" s="2" t="e">
        <f t="shared" si="14"/>
        <v>#VALUE!</v>
      </c>
      <c r="G24" s="2" t="e">
        <f t="shared" si="14"/>
        <v>#VALUE!</v>
      </c>
      <c r="H24" s="2" t="e">
        <f t="shared" si="14"/>
        <v>#VALUE!</v>
      </c>
      <c r="I24" s="2" t="e">
        <f t="shared" si="14"/>
        <v>#VALUE!</v>
      </c>
      <c r="J24" s="2" t="e">
        <f t="shared" si="14"/>
        <v>#VALUE!</v>
      </c>
      <c r="K24" s="2" t="e">
        <f t="shared" si="14"/>
        <v>#VALUE!</v>
      </c>
      <c r="L24" s="2" t="e">
        <f t="shared" si="14"/>
        <v>#VALUE!</v>
      </c>
      <c r="M24" s="2" t="e">
        <f t="shared" si="14"/>
        <v>#VALUE!</v>
      </c>
      <c r="N24" s="2" t="e">
        <f t="shared" si="14"/>
        <v>#VALUE!</v>
      </c>
      <c r="O24" s="2" t="e">
        <f t="shared" si="14"/>
        <v>#VALUE!</v>
      </c>
      <c r="P24" s="2" t="e">
        <f t="shared" si="14"/>
        <v>#VALUE!</v>
      </c>
      <c r="Q24" s="2" t="e">
        <f t="shared" si="14"/>
        <v>#VALUE!</v>
      </c>
      <c r="R24" s="2" t="e">
        <f t="shared" si="14"/>
        <v>#VALUE!</v>
      </c>
      <c r="S24" s="2" t="e">
        <f t="shared" si="14"/>
        <v>#VALUE!</v>
      </c>
      <c r="T24" s="2" t="e">
        <f t="shared" si="14"/>
        <v>#VALUE!</v>
      </c>
      <c r="U24" s="2" t="e">
        <f t="shared" si="14"/>
        <v>#VALUE!</v>
      </c>
      <c r="V24" s="2" t="e">
        <f t="shared" si="14"/>
        <v>#VALUE!</v>
      </c>
      <c r="W24" s="2" t="e">
        <f t="shared" si="14"/>
        <v>#VALUE!</v>
      </c>
      <c r="X24" s="2" t="e">
        <f t="shared" si="14"/>
        <v>#VALUE!</v>
      </c>
      <c r="Y24" s="2" t="e">
        <f t="shared" si="14"/>
        <v>#VALUE!</v>
      </c>
      <c r="Z24" s="2" t="e">
        <f t="shared" si="14"/>
        <v>#VALUE!</v>
      </c>
      <c r="AA24" s="2" t="e">
        <f t="shared" si="14"/>
        <v>#VALUE!</v>
      </c>
      <c r="AB24" s="2" t="e">
        <f t="shared" si="14"/>
        <v>#VALUE!</v>
      </c>
      <c r="AC24" s="2" t="e">
        <f t="shared" si="14"/>
        <v>#VALUE!</v>
      </c>
      <c r="AD24" s="2" t="e">
        <f t="shared" si="14"/>
        <v>#VALUE!</v>
      </c>
      <c r="AE24" s="2" t="e">
        <f t="shared" si="14"/>
        <v>#VALUE!</v>
      </c>
      <c r="AF24" s="2" t="e">
        <f t="shared" si="14"/>
        <v>#VALUE!</v>
      </c>
      <c r="AG24" s="2" t="e">
        <f t="shared" si="14"/>
        <v>#VALUE!</v>
      </c>
    </row>
    <row r="25" spans="1:33" x14ac:dyDescent="0.25">
      <c r="A25" s="2">
        <f>IF(A24=1,(POWER(10,(A4/2))+1),0)</f>
        <v>0</v>
      </c>
      <c r="B25" s="2" t="e">
        <f t="shared" ref="B25:AG25" si="15">IF(B24=1,(POWER(10,(B4/2))+1),0)</f>
        <v>#VALUE!</v>
      </c>
      <c r="C25" s="2" t="e">
        <f t="shared" si="15"/>
        <v>#VALUE!</v>
      </c>
      <c r="D25" s="2" t="e">
        <f t="shared" si="15"/>
        <v>#VALUE!</v>
      </c>
      <c r="E25" s="2" t="e">
        <f t="shared" si="15"/>
        <v>#VALUE!</v>
      </c>
      <c r="F25" s="2" t="e">
        <f t="shared" si="15"/>
        <v>#VALUE!</v>
      </c>
      <c r="G25" s="2" t="e">
        <f t="shared" si="15"/>
        <v>#VALUE!</v>
      </c>
      <c r="H25" s="2" t="e">
        <f t="shared" si="15"/>
        <v>#VALUE!</v>
      </c>
      <c r="I25" s="2" t="e">
        <f t="shared" si="15"/>
        <v>#VALUE!</v>
      </c>
      <c r="J25" s="2" t="e">
        <f t="shared" si="15"/>
        <v>#VALUE!</v>
      </c>
      <c r="K25" s="2" t="e">
        <f t="shared" si="15"/>
        <v>#VALUE!</v>
      </c>
      <c r="L25" s="2" t="e">
        <f t="shared" si="15"/>
        <v>#VALUE!</v>
      </c>
      <c r="M25" s="2" t="e">
        <f t="shared" si="15"/>
        <v>#VALUE!</v>
      </c>
      <c r="N25" s="2" t="e">
        <f t="shared" si="15"/>
        <v>#VALUE!</v>
      </c>
      <c r="O25" s="2" t="e">
        <f t="shared" si="15"/>
        <v>#VALUE!</v>
      </c>
      <c r="P25" s="2" t="e">
        <f t="shared" si="15"/>
        <v>#VALUE!</v>
      </c>
      <c r="Q25" s="2" t="e">
        <f t="shared" si="15"/>
        <v>#VALUE!</v>
      </c>
      <c r="R25" s="2" t="e">
        <f t="shared" si="15"/>
        <v>#VALUE!</v>
      </c>
      <c r="S25" s="2" t="e">
        <f t="shared" si="15"/>
        <v>#VALUE!</v>
      </c>
      <c r="T25" s="2" t="e">
        <f t="shared" si="15"/>
        <v>#VALUE!</v>
      </c>
      <c r="U25" s="2" t="e">
        <f t="shared" si="15"/>
        <v>#VALUE!</v>
      </c>
      <c r="V25" s="2" t="e">
        <f t="shared" si="15"/>
        <v>#VALUE!</v>
      </c>
      <c r="W25" s="2" t="e">
        <f t="shared" si="15"/>
        <v>#VALUE!</v>
      </c>
      <c r="X25" s="2" t="e">
        <f t="shared" si="15"/>
        <v>#VALUE!</v>
      </c>
      <c r="Y25" s="2" t="e">
        <f t="shared" si="15"/>
        <v>#VALUE!</v>
      </c>
      <c r="Z25" s="2" t="e">
        <f t="shared" si="15"/>
        <v>#VALUE!</v>
      </c>
      <c r="AA25" s="2" t="e">
        <f t="shared" si="15"/>
        <v>#VALUE!</v>
      </c>
      <c r="AB25" s="2" t="e">
        <f t="shared" si="15"/>
        <v>#VALUE!</v>
      </c>
      <c r="AC25" s="2" t="e">
        <f t="shared" si="15"/>
        <v>#VALUE!</v>
      </c>
      <c r="AD25" s="2" t="e">
        <f t="shared" si="15"/>
        <v>#VALUE!</v>
      </c>
      <c r="AE25" s="2" t="e">
        <f t="shared" si="15"/>
        <v>#VALUE!</v>
      </c>
      <c r="AF25" s="2" t="e">
        <f t="shared" si="15"/>
        <v>#VALUE!</v>
      </c>
      <c r="AG25" s="2" t="e">
        <f t="shared" si="15"/>
        <v>#VALUE!</v>
      </c>
    </row>
    <row r="26" spans="1:33" x14ac:dyDescent="0.25">
      <c r="A26" s="2">
        <f>IF(A24=1, (POWER(10,(A4/2))-1),0)</f>
        <v>0</v>
      </c>
      <c r="B26" s="2" t="e">
        <f t="shared" ref="B26:AG26" si="16">IF(B24=1, (POWER(10,(B4/2))-1),0)</f>
        <v>#VALUE!</v>
      </c>
      <c r="C26" s="2" t="e">
        <f t="shared" si="16"/>
        <v>#VALUE!</v>
      </c>
      <c r="D26" s="2" t="e">
        <f t="shared" si="16"/>
        <v>#VALUE!</v>
      </c>
      <c r="E26" s="2" t="e">
        <f t="shared" si="16"/>
        <v>#VALUE!</v>
      </c>
      <c r="F26" s="2" t="e">
        <f t="shared" si="16"/>
        <v>#VALUE!</v>
      </c>
      <c r="G26" s="2" t="e">
        <f t="shared" si="16"/>
        <v>#VALUE!</v>
      </c>
      <c r="H26" s="2" t="e">
        <f t="shared" si="16"/>
        <v>#VALUE!</v>
      </c>
      <c r="I26" s="2" t="e">
        <f t="shared" si="16"/>
        <v>#VALUE!</v>
      </c>
      <c r="J26" s="2" t="e">
        <f t="shared" si="16"/>
        <v>#VALUE!</v>
      </c>
      <c r="K26" s="2" t="e">
        <f t="shared" si="16"/>
        <v>#VALUE!</v>
      </c>
      <c r="L26" s="2" t="e">
        <f t="shared" si="16"/>
        <v>#VALUE!</v>
      </c>
      <c r="M26" s="2" t="e">
        <f t="shared" si="16"/>
        <v>#VALUE!</v>
      </c>
      <c r="N26" s="2" t="e">
        <f t="shared" si="16"/>
        <v>#VALUE!</v>
      </c>
      <c r="O26" s="2" t="e">
        <f t="shared" si="16"/>
        <v>#VALUE!</v>
      </c>
      <c r="P26" s="2" t="e">
        <f t="shared" si="16"/>
        <v>#VALUE!</v>
      </c>
      <c r="Q26" s="2" t="e">
        <f t="shared" si="16"/>
        <v>#VALUE!</v>
      </c>
      <c r="R26" s="2" t="e">
        <f t="shared" si="16"/>
        <v>#VALUE!</v>
      </c>
      <c r="S26" s="2" t="e">
        <f t="shared" si="16"/>
        <v>#VALUE!</v>
      </c>
      <c r="T26" s="2" t="e">
        <f t="shared" si="16"/>
        <v>#VALUE!</v>
      </c>
      <c r="U26" s="2" t="e">
        <f t="shared" si="16"/>
        <v>#VALUE!</v>
      </c>
      <c r="V26" s="2" t="e">
        <f t="shared" si="16"/>
        <v>#VALUE!</v>
      </c>
      <c r="W26" s="2" t="e">
        <f t="shared" si="16"/>
        <v>#VALUE!</v>
      </c>
      <c r="X26" s="2" t="e">
        <f t="shared" si="16"/>
        <v>#VALUE!</v>
      </c>
      <c r="Y26" s="2" t="e">
        <f t="shared" si="16"/>
        <v>#VALUE!</v>
      </c>
      <c r="Z26" s="2" t="e">
        <f t="shared" si="16"/>
        <v>#VALUE!</v>
      </c>
      <c r="AA26" s="2" t="e">
        <f t="shared" si="16"/>
        <v>#VALUE!</v>
      </c>
      <c r="AB26" s="2" t="e">
        <f t="shared" si="16"/>
        <v>#VALUE!</v>
      </c>
      <c r="AC26" s="2" t="e">
        <f t="shared" si="16"/>
        <v>#VALUE!</v>
      </c>
      <c r="AD26" s="2" t="e">
        <f t="shared" si="16"/>
        <v>#VALUE!</v>
      </c>
      <c r="AE26" s="2" t="e">
        <f t="shared" si="16"/>
        <v>#VALUE!</v>
      </c>
      <c r="AF26" s="2" t="e">
        <f t="shared" si="16"/>
        <v>#VALUE!</v>
      </c>
      <c r="AG26" s="2" t="e">
        <f t="shared" si="16"/>
        <v>#VALUE!</v>
      </c>
    </row>
    <row r="27" spans="1:33" x14ac:dyDescent="0.25">
      <c r="A27" s="3">
        <f>IF(AND(A8&gt;=A9,A24=1),A8*A25,0)</f>
        <v>0</v>
      </c>
      <c r="B27" s="3" t="e">
        <f t="shared" ref="B27:AG27" si="17">IF(AND(B8&gt;=B9,B24=1),B8*B25,0)</f>
        <v>#VALUE!</v>
      </c>
      <c r="C27" s="3" t="e">
        <f t="shared" si="17"/>
        <v>#VALUE!</v>
      </c>
      <c r="D27" s="3" t="e">
        <f t="shared" si="17"/>
        <v>#VALUE!</v>
      </c>
      <c r="E27" s="3" t="e">
        <f t="shared" si="17"/>
        <v>#VALUE!</v>
      </c>
      <c r="F27" s="3" t="e">
        <f t="shared" si="17"/>
        <v>#VALUE!</v>
      </c>
      <c r="G27" s="3" t="e">
        <f t="shared" si="17"/>
        <v>#VALUE!</v>
      </c>
      <c r="H27" s="3" t="e">
        <f t="shared" si="17"/>
        <v>#VALUE!</v>
      </c>
      <c r="I27" s="3" t="e">
        <f t="shared" si="17"/>
        <v>#VALUE!</v>
      </c>
      <c r="J27" s="3" t="e">
        <f t="shared" si="17"/>
        <v>#VALUE!</v>
      </c>
      <c r="K27" s="3" t="e">
        <f t="shared" si="17"/>
        <v>#VALUE!</v>
      </c>
      <c r="L27" s="3" t="e">
        <f t="shared" si="17"/>
        <v>#VALUE!</v>
      </c>
      <c r="M27" s="3" t="e">
        <f t="shared" si="17"/>
        <v>#VALUE!</v>
      </c>
      <c r="N27" s="3" t="e">
        <f t="shared" si="17"/>
        <v>#VALUE!</v>
      </c>
      <c r="O27" s="3" t="e">
        <f t="shared" si="17"/>
        <v>#VALUE!</v>
      </c>
      <c r="P27" s="3" t="e">
        <f t="shared" si="17"/>
        <v>#VALUE!</v>
      </c>
      <c r="Q27" s="3" t="e">
        <f t="shared" si="17"/>
        <v>#VALUE!</v>
      </c>
      <c r="R27" s="3" t="e">
        <f t="shared" si="17"/>
        <v>#VALUE!</v>
      </c>
      <c r="S27" s="3" t="e">
        <f t="shared" si="17"/>
        <v>#VALUE!</v>
      </c>
      <c r="T27" s="3" t="e">
        <f t="shared" si="17"/>
        <v>#VALUE!</v>
      </c>
      <c r="U27" s="3" t="e">
        <f t="shared" si="17"/>
        <v>#VALUE!</v>
      </c>
      <c r="V27" s="3" t="e">
        <f t="shared" si="17"/>
        <v>#VALUE!</v>
      </c>
      <c r="W27" s="3" t="e">
        <f t="shared" si="17"/>
        <v>#VALUE!</v>
      </c>
      <c r="X27" s="3" t="e">
        <f t="shared" si="17"/>
        <v>#VALUE!</v>
      </c>
      <c r="Y27" s="3" t="e">
        <f t="shared" si="17"/>
        <v>#VALUE!</v>
      </c>
      <c r="Z27" s="3" t="e">
        <f t="shared" si="17"/>
        <v>#VALUE!</v>
      </c>
      <c r="AA27" s="3" t="e">
        <f t="shared" si="17"/>
        <v>#VALUE!</v>
      </c>
      <c r="AB27" s="3" t="e">
        <f t="shared" si="17"/>
        <v>#VALUE!</v>
      </c>
      <c r="AC27" s="3" t="e">
        <f t="shared" si="17"/>
        <v>#VALUE!</v>
      </c>
      <c r="AD27" s="3" t="e">
        <f t="shared" si="17"/>
        <v>#VALUE!</v>
      </c>
      <c r="AE27" s="3" t="e">
        <f t="shared" si="17"/>
        <v>#VALUE!</v>
      </c>
      <c r="AF27" s="3" t="e">
        <f t="shared" si="17"/>
        <v>#VALUE!</v>
      </c>
      <c r="AG27" s="3" t="e">
        <f t="shared" si="17"/>
        <v>#VALUE!</v>
      </c>
    </row>
    <row r="28" spans="1:33" x14ac:dyDescent="0.25">
      <c r="A28" s="3">
        <f>IF(AND(A26-A8 &gt;0,A24=1),(((A26-A8)*(A26+A8+1))/2)*A25,0)</f>
        <v>0</v>
      </c>
      <c r="B28" s="3" t="e">
        <f t="shared" ref="B28:AG28" si="18">IF(AND(B26-B8 &gt;0,B24=1),(((B26-B8)*(B26+B8+1))/2)*B25,0)</f>
        <v>#VALUE!</v>
      </c>
      <c r="C28" s="3" t="e">
        <f t="shared" si="18"/>
        <v>#VALUE!</v>
      </c>
      <c r="D28" s="3" t="e">
        <f t="shared" si="18"/>
        <v>#VALUE!</v>
      </c>
      <c r="E28" s="3" t="e">
        <f t="shared" si="18"/>
        <v>#VALUE!</v>
      </c>
      <c r="F28" s="3" t="e">
        <f t="shared" si="18"/>
        <v>#VALUE!</v>
      </c>
      <c r="G28" s="3" t="e">
        <f t="shared" si="18"/>
        <v>#VALUE!</v>
      </c>
      <c r="H28" s="3" t="e">
        <f t="shared" si="18"/>
        <v>#VALUE!</v>
      </c>
      <c r="I28" s="3" t="e">
        <f t="shared" si="18"/>
        <v>#VALUE!</v>
      </c>
      <c r="J28" s="3" t="e">
        <f t="shared" si="18"/>
        <v>#VALUE!</v>
      </c>
      <c r="K28" s="3" t="e">
        <f t="shared" si="18"/>
        <v>#VALUE!</v>
      </c>
      <c r="L28" s="3" t="e">
        <f t="shared" si="18"/>
        <v>#VALUE!</v>
      </c>
      <c r="M28" s="3" t="e">
        <f t="shared" si="18"/>
        <v>#VALUE!</v>
      </c>
      <c r="N28" s="3" t="e">
        <f t="shared" si="18"/>
        <v>#VALUE!</v>
      </c>
      <c r="O28" s="3" t="e">
        <f t="shared" si="18"/>
        <v>#VALUE!</v>
      </c>
      <c r="P28" s="3" t="e">
        <f t="shared" si="18"/>
        <v>#VALUE!</v>
      </c>
      <c r="Q28" s="3" t="e">
        <f t="shared" si="18"/>
        <v>#VALUE!</v>
      </c>
      <c r="R28" s="3" t="e">
        <f t="shared" si="18"/>
        <v>#VALUE!</v>
      </c>
      <c r="S28" s="3" t="e">
        <f t="shared" si="18"/>
        <v>#VALUE!</v>
      </c>
      <c r="T28" s="3" t="e">
        <f t="shared" si="18"/>
        <v>#VALUE!</v>
      </c>
      <c r="U28" s="3" t="e">
        <f t="shared" si="18"/>
        <v>#VALUE!</v>
      </c>
      <c r="V28" s="3" t="e">
        <f t="shared" si="18"/>
        <v>#VALUE!</v>
      </c>
      <c r="W28" s="3" t="e">
        <f t="shared" si="18"/>
        <v>#VALUE!</v>
      </c>
      <c r="X28" s="3" t="e">
        <f>IF(AND(X26-X8 &gt;0,X24=1),(((X26-X8)*(X26+X8+1))/2)*X25,0)</f>
        <v>#VALUE!</v>
      </c>
      <c r="Y28" s="3" t="e">
        <f t="shared" si="18"/>
        <v>#VALUE!</v>
      </c>
      <c r="Z28" s="3" t="e">
        <f t="shared" si="18"/>
        <v>#VALUE!</v>
      </c>
      <c r="AA28" s="3" t="e">
        <f t="shared" si="18"/>
        <v>#VALUE!</v>
      </c>
      <c r="AB28" s="3" t="e">
        <f t="shared" si="18"/>
        <v>#VALUE!</v>
      </c>
      <c r="AC28" s="3" t="e">
        <f t="shared" si="18"/>
        <v>#VALUE!</v>
      </c>
      <c r="AD28" s="3" t="e">
        <f t="shared" si="18"/>
        <v>#VALUE!</v>
      </c>
      <c r="AE28" s="3" t="e">
        <f t="shared" si="18"/>
        <v>#VALUE!</v>
      </c>
      <c r="AF28" s="3" t="e">
        <f t="shared" si="18"/>
        <v>#VALUE!</v>
      </c>
      <c r="AG28" s="3" t="e">
        <f t="shared" si="18"/>
        <v>#VALUE!</v>
      </c>
    </row>
    <row r="30" spans="1:33" x14ac:dyDescent="0.25">
      <c r="A30" s="2" t="s">
        <v>13</v>
      </c>
    </row>
    <row r="31" spans="1:33" x14ac:dyDescent="0.25">
      <c r="A31" s="2">
        <f>IF(AND(MOD(A5,2)=0, A4 &lt; A5),1,0)</f>
        <v>0</v>
      </c>
      <c r="B31" s="2" t="e">
        <f t="shared" ref="B31:AG31" si="19">IF(AND(MOD(B5,2)=0, B4 &lt; B5),1,0)</f>
        <v>#VALUE!</v>
      </c>
      <c r="C31" s="2" t="e">
        <f t="shared" si="19"/>
        <v>#VALUE!</v>
      </c>
      <c r="D31" s="2" t="e">
        <f t="shared" si="19"/>
        <v>#VALUE!</v>
      </c>
      <c r="E31" s="2" t="e">
        <f t="shared" si="19"/>
        <v>#VALUE!</v>
      </c>
      <c r="F31" s="2" t="e">
        <f t="shared" si="19"/>
        <v>#VALUE!</v>
      </c>
      <c r="G31" s="2" t="e">
        <f t="shared" si="19"/>
        <v>#VALUE!</v>
      </c>
      <c r="H31" s="2" t="e">
        <f t="shared" si="19"/>
        <v>#VALUE!</v>
      </c>
      <c r="I31" s="2" t="e">
        <f t="shared" si="19"/>
        <v>#VALUE!</v>
      </c>
      <c r="J31" s="2" t="e">
        <f t="shared" si="19"/>
        <v>#VALUE!</v>
      </c>
      <c r="K31" s="2" t="e">
        <f t="shared" si="19"/>
        <v>#VALUE!</v>
      </c>
      <c r="L31" s="2" t="e">
        <f t="shared" si="19"/>
        <v>#VALUE!</v>
      </c>
      <c r="M31" s="2" t="e">
        <f t="shared" si="19"/>
        <v>#VALUE!</v>
      </c>
      <c r="N31" s="2" t="e">
        <f t="shared" si="19"/>
        <v>#VALUE!</v>
      </c>
      <c r="O31" s="2" t="e">
        <f t="shared" si="19"/>
        <v>#VALUE!</v>
      </c>
      <c r="P31" s="2" t="e">
        <f t="shared" si="19"/>
        <v>#VALUE!</v>
      </c>
      <c r="Q31" s="2" t="e">
        <f t="shared" si="19"/>
        <v>#VALUE!</v>
      </c>
      <c r="R31" s="2" t="e">
        <f t="shared" si="19"/>
        <v>#VALUE!</v>
      </c>
      <c r="S31" s="2" t="e">
        <f t="shared" si="19"/>
        <v>#VALUE!</v>
      </c>
      <c r="T31" s="2" t="e">
        <f t="shared" si="19"/>
        <v>#VALUE!</v>
      </c>
      <c r="U31" s="2" t="e">
        <f t="shared" si="19"/>
        <v>#VALUE!</v>
      </c>
      <c r="V31" s="2" t="e">
        <f t="shared" si="19"/>
        <v>#VALUE!</v>
      </c>
      <c r="W31" s="2" t="e">
        <f t="shared" si="19"/>
        <v>#VALUE!</v>
      </c>
      <c r="X31" s="2" t="e">
        <f t="shared" si="19"/>
        <v>#VALUE!</v>
      </c>
      <c r="Y31" s="2" t="e">
        <f t="shared" si="19"/>
        <v>#VALUE!</v>
      </c>
      <c r="Z31" s="2" t="e">
        <f t="shared" si="19"/>
        <v>#VALUE!</v>
      </c>
      <c r="AA31" s="2" t="e">
        <f t="shared" si="19"/>
        <v>#VALUE!</v>
      </c>
      <c r="AB31" s="2" t="e">
        <f t="shared" si="19"/>
        <v>#VALUE!</v>
      </c>
      <c r="AC31" s="2" t="e">
        <f t="shared" si="19"/>
        <v>#VALUE!</v>
      </c>
      <c r="AD31" s="2" t="e">
        <f t="shared" si="19"/>
        <v>#VALUE!</v>
      </c>
      <c r="AE31" s="2" t="e">
        <f t="shared" si="19"/>
        <v>#VALUE!</v>
      </c>
      <c r="AF31" s="2" t="e">
        <f t="shared" si="19"/>
        <v>#VALUE!</v>
      </c>
      <c r="AG31" s="2" t="e">
        <f t="shared" si="19"/>
        <v>#VALUE!</v>
      </c>
    </row>
    <row r="32" spans="1:33" x14ac:dyDescent="0.25">
      <c r="A32" s="2">
        <f>IF(A31=1,(POWER(10,(A5/2))+1),0)</f>
        <v>0</v>
      </c>
      <c r="B32" s="2" t="e">
        <f t="shared" ref="B32:AG32" si="20">IF(B31=1,(POWER(10,(B5/2))+1),0)</f>
        <v>#VALUE!</v>
      </c>
      <c r="C32" s="2" t="e">
        <f t="shared" si="20"/>
        <v>#VALUE!</v>
      </c>
      <c r="D32" s="2" t="e">
        <f t="shared" si="20"/>
        <v>#VALUE!</v>
      </c>
      <c r="E32" s="2" t="e">
        <f t="shared" si="20"/>
        <v>#VALUE!</v>
      </c>
      <c r="F32" s="2" t="e">
        <f t="shared" si="20"/>
        <v>#VALUE!</v>
      </c>
      <c r="G32" s="2" t="e">
        <f t="shared" si="20"/>
        <v>#VALUE!</v>
      </c>
      <c r="H32" s="2" t="e">
        <f t="shared" si="20"/>
        <v>#VALUE!</v>
      </c>
      <c r="I32" s="2" t="e">
        <f t="shared" si="20"/>
        <v>#VALUE!</v>
      </c>
      <c r="J32" s="2" t="e">
        <f t="shared" si="20"/>
        <v>#VALUE!</v>
      </c>
      <c r="K32" s="2" t="e">
        <f t="shared" si="20"/>
        <v>#VALUE!</v>
      </c>
      <c r="L32" s="2" t="e">
        <f t="shared" si="20"/>
        <v>#VALUE!</v>
      </c>
      <c r="M32" s="2" t="e">
        <f t="shared" si="20"/>
        <v>#VALUE!</v>
      </c>
      <c r="N32" s="2" t="e">
        <f t="shared" si="20"/>
        <v>#VALUE!</v>
      </c>
      <c r="O32" s="2" t="e">
        <f t="shared" si="20"/>
        <v>#VALUE!</v>
      </c>
      <c r="P32" s="2" t="e">
        <f t="shared" si="20"/>
        <v>#VALUE!</v>
      </c>
      <c r="Q32" s="2" t="e">
        <f t="shared" si="20"/>
        <v>#VALUE!</v>
      </c>
      <c r="R32" s="2" t="e">
        <f t="shared" si="20"/>
        <v>#VALUE!</v>
      </c>
      <c r="S32" s="2" t="e">
        <f t="shared" si="20"/>
        <v>#VALUE!</v>
      </c>
      <c r="T32" s="2" t="e">
        <f t="shared" si="20"/>
        <v>#VALUE!</v>
      </c>
      <c r="U32" s="2" t="e">
        <f t="shared" si="20"/>
        <v>#VALUE!</v>
      </c>
      <c r="V32" s="2" t="e">
        <f t="shared" si="20"/>
        <v>#VALUE!</v>
      </c>
      <c r="W32" s="2" t="e">
        <f t="shared" si="20"/>
        <v>#VALUE!</v>
      </c>
      <c r="X32" s="2" t="e">
        <f t="shared" si="20"/>
        <v>#VALUE!</v>
      </c>
      <c r="Y32" s="2" t="e">
        <f t="shared" si="20"/>
        <v>#VALUE!</v>
      </c>
      <c r="Z32" s="2" t="e">
        <f t="shared" si="20"/>
        <v>#VALUE!</v>
      </c>
      <c r="AA32" s="2" t="e">
        <f t="shared" si="20"/>
        <v>#VALUE!</v>
      </c>
      <c r="AB32" s="2" t="e">
        <f t="shared" si="20"/>
        <v>#VALUE!</v>
      </c>
      <c r="AC32" s="2" t="e">
        <f t="shared" si="20"/>
        <v>#VALUE!</v>
      </c>
      <c r="AD32" s="2" t="e">
        <f t="shared" si="20"/>
        <v>#VALUE!</v>
      </c>
      <c r="AE32" s="2" t="e">
        <f t="shared" si="20"/>
        <v>#VALUE!</v>
      </c>
      <c r="AF32" s="2" t="e">
        <f t="shared" si="20"/>
        <v>#VALUE!</v>
      </c>
      <c r="AG32" s="2" t="e">
        <f t="shared" si="20"/>
        <v>#VALUE!</v>
      </c>
    </row>
    <row r="33" spans="1:33" x14ac:dyDescent="0.25">
      <c r="A33" s="2">
        <f>IF(A31=1, (POWER(10,(A5/2)-1)),0)</f>
        <v>0</v>
      </c>
      <c r="B33" s="2" t="e">
        <f t="shared" ref="B33:AG33" si="21">IF(B31=1, (POWER(10,(B5/2)-1)),0)</f>
        <v>#VALUE!</v>
      </c>
      <c r="C33" s="2" t="e">
        <f t="shared" si="21"/>
        <v>#VALUE!</v>
      </c>
      <c r="D33" s="2" t="e">
        <f t="shared" si="21"/>
        <v>#VALUE!</v>
      </c>
      <c r="E33" s="2" t="e">
        <f t="shared" si="21"/>
        <v>#VALUE!</v>
      </c>
      <c r="F33" s="2" t="e">
        <f t="shared" si="21"/>
        <v>#VALUE!</v>
      </c>
      <c r="G33" s="2" t="e">
        <f t="shared" si="21"/>
        <v>#VALUE!</v>
      </c>
      <c r="H33" s="2" t="e">
        <f t="shared" si="21"/>
        <v>#VALUE!</v>
      </c>
      <c r="I33" s="2" t="e">
        <f t="shared" si="21"/>
        <v>#VALUE!</v>
      </c>
      <c r="J33" s="2" t="e">
        <f t="shared" si="21"/>
        <v>#VALUE!</v>
      </c>
      <c r="K33" s="2" t="e">
        <f t="shared" si="21"/>
        <v>#VALUE!</v>
      </c>
      <c r="L33" s="2" t="e">
        <f t="shared" si="21"/>
        <v>#VALUE!</v>
      </c>
      <c r="M33" s="2" t="e">
        <f t="shared" si="21"/>
        <v>#VALUE!</v>
      </c>
      <c r="N33" s="2" t="e">
        <f t="shared" si="21"/>
        <v>#VALUE!</v>
      </c>
      <c r="O33" s="2" t="e">
        <f t="shared" si="21"/>
        <v>#VALUE!</v>
      </c>
      <c r="P33" s="2" t="e">
        <f t="shared" si="21"/>
        <v>#VALUE!</v>
      </c>
      <c r="Q33" s="2" t="e">
        <f t="shared" si="21"/>
        <v>#VALUE!</v>
      </c>
      <c r="R33" s="2" t="e">
        <f t="shared" si="21"/>
        <v>#VALUE!</v>
      </c>
      <c r="S33" s="2" t="e">
        <f t="shared" si="21"/>
        <v>#VALUE!</v>
      </c>
      <c r="T33" s="2" t="e">
        <f t="shared" si="21"/>
        <v>#VALUE!</v>
      </c>
      <c r="U33" s="2" t="e">
        <f t="shared" si="21"/>
        <v>#VALUE!</v>
      </c>
      <c r="V33" s="2" t="e">
        <f t="shared" si="21"/>
        <v>#VALUE!</v>
      </c>
      <c r="W33" s="2" t="e">
        <f t="shared" si="21"/>
        <v>#VALUE!</v>
      </c>
      <c r="X33" s="2" t="e">
        <f t="shared" si="21"/>
        <v>#VALUE!</v>
      </c>
      <c r="Y33" s="2" t="e">
        <f t="shared" si="21"/>
        <v>#VALUE!</v>
      </c>
      <c r="Z33" s="2" t="e">
        <f t="shared" si="21"/>
        <v>#VALUE!</v>
      </c>
      <c r="AA33" s="2" t="e">
        <f t="shared" si="21"/>
        <v>#VALUE!</v>
      </c>
      <c r="AB33" s="2" t="e">
        <f t="shared" si="21"/>
        <v>#VALUE!</v>
      </c>
      <c r="AC33" s="2" t="e">
        <f t="shared" si="21"/>
        <v>#VALUE!</v>
      </c>
      <c r="AD33" s="2" t="e">
        <f t="shared" si="21"/>
        <v>#VALUE!</v>
      </c>
      <c r="AE33" s="2" t="e">
        <f t="shared" si="21"/>
        <v>#VALUE!</v>
      </c>
      <c r="AF33" s="2" t="e">
        <f t="shared" si="21"/>
        <v>#VALUE!</v>
      </c>
      <c r="AG33" s="2" t="e">
        <f t="shared" si="21"/>
        <v>#VALUE!</v>
      </c>
    </row>
    <row r="34" spans="1:33" x14ac:dyDescent="0.25">
      <c r="A34" s="2">
        <f>IF(AND(A12&lt;=A13,A31=1),A12*A32,0)</f>
        <v>0</v>
      </c>
      <c r="B34" s="2" t="e">
        <f t="shared" ref="B34:AG34" si="22">IF(AND(B12&lt;=B13,B31=1),B12*B32,0)</f>
        <v>#VALUE!</v>
      </c>
      <c r="C34" s="2" t="e">
        <f t="shared" si="22"/>
        <v>#VALUE!</v>
      </c>
      <c r="D34" s="2" t="e">
        <f t="shared" si="22"/>
        <v>#VALUE!</v>
      </c>
      <c r="E34" s="2" t="e">
        <f t="shared" si="22"/>
        <v>#VALUE!</v>
      </c>
      <c r="F34" s="2" t="e">
        <f t="shared" si="22"/>
        <v>#VALUE!</v>
      </c>
      <c r="G34" s="2" t="e">
        <f t="shared" si="22"/>
        <v>#VALUE!</v>
      </c>
      <c r="H34" s="2" t="e">
        <f t="shared" si="22"/>
        <v>#VALUE!</v>
      </c>
      <c r="I34" s="2" t="e">
        <f t="shared" si="22"/>
        <v>#VALUE!</v>
      </c>
      <c r="J34" s="2" t="e">
        <f t="shared" si="22"/>
        <v>#VALUE!</v>
      </c>
      <c r="K34" s="2" t="e">
        <f t="shared" si="22"/>
        <v>#VALUE!</v>
      </c>
      <c r="L34" s="2" t="e">
        <f t="shared" si="22"/>
        <v>#VALUE!</v>
      </c>
      <c r="M34" s="2" t="e">
        <f t="shared" si="22"/>
        <v>#VALUE!</v>
      </c>
      <c r="N34" s="2" t="e">
        <f t="shared" si="22"/>
        <v>#VALUE!</v>
      </c>
      <c r="O34" s="2" t="e">
        <f t="shared" si="22"/>
        <v>#VALUE!</v>
      </c>
      <c r="P34" s="2" t="e">
        <f t="shared" si="22"/>
        <v>#VALUE!</v>
      </c>
      <c r="Q34" s="2" t="e">
        <f t="shared" si="22"/>
        <v>#VALUE!</v>
      </c>
      <c r="R34" s="2" t="e">
        <f t="shared" si="22"/>
        <v>#VALUE!</v>
      </c>
      <c r="S34" s="2" t="e">
        <f t="shared" si="22"/>
        <v>#VALUE!</v>
      </c>
      <c r="T34" s="2" t="e">
        <f t="shared" si="22"/>
        <v>#VALUE!</v>
      </c>
      <c r="U34" s="2" t="e">
        <f t="shared" si="22"/>
        <v>#VALUE!</v>
      </c>
      <c r="V34" s="2" t="e">
        <f t="shared" si="22"/>
        <v>#VALUE!</v>
      </c>
      <c r="W34" s="2" t="e">
        <f t="shared" si="22"/>
        <v>#VALUE!</v>
      </c>
      <c r="X34" s="2" t="e">
        <f t="shared" si="22"/>
        <v>#VALUE!</v>
      </c>
      <c r="Y34" s="2" t="e">
        <f t="shared" si="22"/>
        <v>#VALUE!</v>
      </c>
      <c r="Z34" s="2" t="e">
        <f t="shared" si="22"/>
        <v>#VALUE!</v>
      </c>
      <c r="AA34" s="2" t="e">
        <f t="shared" si="22"/>
        <v>#VALUE!</v>
      </c>
      <c r="AB34" s="2" t="e">
        <f t="shared" si="22"/>
        <v>#VALUE!</v>
      </c>
      <c r="AC34" s="2" t="e">
        <f t="shared" si="22"/>
        <v>#VALUE!</v>
      </c>
      <c r="AD34" s="2" t="e">
        <f t="shared" si="22"/>
        <v>#VALUE!</v>
      </c>
      <c r="AE34" s="2" t="e">
        <f t="shared" si="22"/>
        <v>#VALUE!</v>
      </c>
      <c r="AF34" s="2" t="e">
        <f t="shared" si="22"/>
        <v>#VALUE!</v>
      </c>
      <c r="AG34" s="2" t="e">
        <f t="shared" si="22"/>
        <v>#VALUE!</v>
      </c>
    </row>
    <row r="35" spans="1:33" x14ac:dyDescent="0.25">
      <c r="A35" s="2">
        <f>IF(AND(A12-A33 &gt;0,A31=1),(((A12-A33)*(A12+A33-1))/2)*A32,0)</f>
        <v>0</v>
      </c>
      <c r="B35" s="2" t="e">
        <f t="shared" ref="B35:AG35" si="23">IF(AND(B12-B33 &gt;0,B31=1),(((B12-B33)*(B12+B33-1))/2)*B32,0)</f>
        <v>#VALUE!</v>
      </c>
      <c r="C35" s="2" t="e">
        <f t="shared" si="23"/>
        <v>#VALUE!</v>
      </c>
      <c r="D35" s="2" t="e">
        <f t="shared" si="23"/>
        <v>#VALUE!</v>
      </c>
      <c r="E35" s="2" t="e">
        <f t="shared" si="23"/>
        <v>#VALUE!</v>
      </c>
      <c r="F35" s="2" t="e">
        <f t="shared" si="23"/>
        <v>#VALUE!</v>
      </c>
      <c r="G35" s="2" t="e">
        <f t="shared" si="23"/>
        <v>#VALUE!</v>
      </c>
      <c r="H35" s="2" t="e">
        <f t="shared" si="23"/>
        <v>#VALUE!</v>
      </c>
      <c r="I35" s="2" t="e">
        <f t="shared" si="23"/>
        <v>#VALUE!</v>
      </c>
      <c r="J35" s="2" t="e">
        <f t="shared" si="23"/>
        <v>#VALUE!</v>
      </c>
      <c r="K35" s="2" t="e">
        <f t="shared" si="23"/>
        <v>#VALUE!</v>
      </c>
      <c r="L35" s="2" t="e">
        <f t="shared" si="23"/>
        <v>#VALUE!</v>
      </c>
      <c r="M35" s="2" t="e">
        <f t="shared" si="23"/>
        <v>#VALUE!</v>
      </c>
      <c r="N35" s="2" t="e">
        <f t="shared" si="23"/>
        <v>#VALUE!</v>
      </c>
      <c r="O35" s="2" t="e">
        <f t="shared" si="23"/>
        <v>#VALUE!</v>
      </c>
      <c r="P35" s="2" t="e">
        <f t="shared" si="23"/>
        <v>#VALUE!</v>
      </c>
      <c r="Q35" s="2" t="e">
        <f t="shared" si="23"/>
        <v>#VALUE!</v>
      </c>
      <c r="R35" s="2" t="e">
        <f t="shared" si="23"/>
        <v>#VALUE!</v>
      </c>
      <c r="S35" s="2" t="e">
        <f t="shared" si="23"/>
        <v>#VALUE!</v>
      </c>
      <c r="T35" s="2" t="e">
        <f t="shared" si="23"/>
        <v>#VALUE!</v>
      </c>
      <c r="U35" s="2" t="e">
        <f t="shared" si="23"/>
        <v>#VALUE!</v>
      </c>
      <c r="V35" s="2" t="e">
        <f t="shared" si="23"/>
        <v>#VALUE!</v>
      </c>
      <c r="W35" s="2" t="e">
        <f t="shared" si="23"/>
        <v>#VALUE!</v>
      </c>
      <c r="X35" s="2" t="e">
        <f t="shared" si="23"/>
        <v>#VALUE!</v>
      </c>
      <c r="Y35" s="2" t="e">
        <f t="shared" si="23"/>
        <v>#VALUE!</v>
      </c>
      <c r="Z35" s="2" t="e">
        <f t="shared" si="23"/>
        <v>#VALUE!</v>
      </c>
      <c r="AA35" s="2" t="e">
        <f t="shared" si="23"/>
        <v>#VALUE!</v>
      </c>
      <c r="AB35" s="2" t="e">
        <f t="shared" si="23"/>
        <v>#VALUE!</v>
      </c>
      <c r="AC35" s="2" t="e">
        <f t="shared" si="23"/>
        <v>#VALUE!</v>
      </c>
      <c r="AD35" s="2" t="e">
        <f t="shared" si="23"/>
        <v>#VALUE!</v>
      </c>
      <c r="AE35" s="2" t="e">
        <f t="shared" si="23"/>
        <v>#VALUE!</v>
      </c>
      <c r="AF35" s="2" t="e">
        <f t="shared" si="23"/>
        <v>#VALUE!</v>
      </c>
      <c r="AG35" s="2" t="e">
        <f t="shared" si="23"/>
        <v>#VALUE!</v>
      </c>
    </row>
    <row r="38" spans="1:33" x14ac:dyDescent="0.25">
      <c r="A38" s="2" t="s">
        <v>37</v>
      </c>
    </row>
    <row r="39" spans="1:33" x14ac:dyDescent="0.25">
      <c r="A39" s="2" t="e">
        <f>SUM(20:20,19:19,27:27,28:28,34:34,35:35)</f>
        <v>#VALUE!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6CAA-7D61-45B7-832C-F6283C2BE739}">
  <dimension ref="A1"/>
  <sheetViews>
    <sheetView workbookViewId="0"/>
  </sheetViews>
  <sheetFormatPr defaultRowHeight="15" x14ac:dyDescent="0.25"/>
  <cols>
    <col min="1" max="1" width="9.425781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F76C9A-74FF-4C87-926A-9A0F882FAA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Dokument tekstowy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PIOTROWSKI</dc:creator>
  <cp:lastModifiedBy>Piotr PIOTROWSKI</cp:lastModifiedBy>
  <dcterms:created xsi:type="dcterms:W3CDTF">2025-12-02T08:48:42Z</dcterms:created>
  <dcterms:modified xsi:type="dcterms:W3CDTF">2025-12-02T12:46:28Z</dcterms:modified>
</cp:coreProperties>
</file>