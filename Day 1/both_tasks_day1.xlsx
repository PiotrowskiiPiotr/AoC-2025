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ownloads\"/>
    </mc:Choice>
  </mc:AlternateContent>
  <xr:revisionPtr revIDLastSave="0" documentId="8_{5B64D683-3BB1-41B8-AC57-A08A4A644944}" xr6:coauthVersionLast="47" xr6:coauthVersionMax="47" xr10:uidLastSave="{00000000-0000-0000-0000-000000000000}"/>
  <bookViews>
    <workbookView xWindow="-108" yWindow="-108" windowWidth="23256" windowHeight="12576" xr2:uid="{277DD572-2BE8-4618-8248-EE7A770CE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W2" i="1"/>
  <c r="I2" i="1"/>
  <c r="AA2" i="1" s="1"/>
  <c r="C2" i="1"/>
  <c r="D2" i="1" s="1"/>
  <c r="G2" i="1" l="1"/>
  <c r="E2" i="1"/>
  <c r="F2" i="1" l="1"/>
  <c r="B2" i="1" s="1"/>
  <c r="P2" i="1"/>
  <c r="R2" i="1" s="1"/>
  <c r="S2" i="1"/>
  <c r="T2" i="1" s="1"/>
  <c r="H2" i="1"/>
  <c r="Z2" i="1"/>
  <c r="X2" i="1"/>
  <c r="K2" i="1"/>
  <c r="U2" i="1" l="1"/>
  <c r="M2" i="1" l="1"/>
  <c r="AB2" i="1"/>
  <c r="AD2" i="1" l="1"/>
</calcChain>
</file>

<file path=xl/sharedStrings.xml><?xml version="1.0" encoding="utf-8"?>
<sst xmlns="http://schemas.openxmlformats.org/spreadsheetml/2006/main" count="9" uniqueCount="9">
  <si>
    <t>Left</t>
  </si>
  <si>
    <t>Right</t>
  </si>
  <si>
    <t>Sign</t>
  </si>
  <si>
    <t>L29</t>
  </si>
  <si>
    <t>INPUT</t>
  </si>
  <si>
    <t>Clicks exactly on zero</t>
  </si>
  <si>
    <t>Clicks during rotation left</t>
  </si>
  <si>
    <t>Clicks during rotation right</t>
  </si>
  <si>
    <t>Sum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</si>
</sst>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FFFF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92A3-C140-46AA-8B7D-94F083C28A92}">
  <dimension ref="A1:AD4433"/>
  <sheetViews>
    <sheetView tabSelected="1" workbookViewId="0">
      <selection activeCell="A2" sqref="A2"/>
    </sheetView>
  </sheetViews>
  <sheetFormatPr defaultRowHeight="14.4"/>
  <cols>
    <col min="3" max="3" width="4.5546875" customWidth="1"/>
    <col min="4" max="4" width="4.44140625" customWidth="1"/>
    <col min="5" max="6" width="6.88671875" customWidth="1"/>
    <col min="7" max="7" width="7.44140625" customWidth="1"/>
    <col min="8" max="8" width="6" customWidth="1"/>
    <col min="9" max="9" width="5.44140625" customWidth="1"/>
    <col min="10" max="10" width="1" customWidth="1"/>
    <col min="11" max="11" width="9.109375" customWidth="1"/>
    <col min="12" max="12" width="1.109375" customWidth="1"/>
    <col min="13" max="13" width="20.109375" customWidth="1"/>
    <col min="14" max="14" width="2" customWidth="1"/>
    <col min="15" max="15" width="1.44140625" customWidth="1"/>
    <col min="21" max="21" width="22.88671875" customWidth="1"/>
    <col min="22" max="22" width="1.5546875" customWidth="1"/>
    <col min="28" max="28" width="24.33203125" customWidth="1"/>
    <col min="29" max="29" width="1.109375" customWidth="1"/>
    <col min="30" max="30" width="13.109375" customWidth="1"/>
  </cols>
  <sheetData>
    <row r="1" spans="1:30">
      <c r="A1" t="s">
        <v>4</v>
      </c>
      <c r="B1">
        <v>50</v>
      </c>
      <c r="F1" t="s">
        <v>0</v>
      </c>
      <c r="H1" t="s">
        <v>1</v>
      </c>
      <c r="I1" t="s">
        <v>2</v>
      </c>
      <c r="M1" t="s">
        <v>5</v>
      </c>
      <c r="U1" t="s">
        <v>6</v>
      </c>
      <c r="AB1" t="s">
        <v>7</v>
      </c>
      <c r="AD1" t="s">
        <v>8</v>
      </c>
    </row>
    <row r="2" spans="1:30">
      <c r="A2" s="1" t="s">
        <v>3</v>
      </c>
      <c r="B2">
        <f>IF(I2="L",F2,H2)</f>
        <v>21</v>
      </c>
      <c r="C2">
        <f>LEN(A2)</f>
        <v>3</v>
      </c>
      <c r="D2" t="str">
        <f>RIGHT(A2, C2-1)</f>
        <v>29</v>
      </c>
      <c r="E2">
        <f>B1-D2</f>
        <v>21</v>
      </c>
      <c r="F2">
        <f>MOD(E2,100)</f>
        <v>21</v>
      </c>
      <c r="G2">
        <f>B1+D2</f>
        <v>79</v>
      </c>
      <c r="H2">
        <f>MOD(G2,100)</f>
        <v>79</v>
      </c>
      <c r="I2" t="str">
        <f>LEFT(A2,1)</f>
        <v>L</v>
      </c>
      <c r="K2">
        <f>IF(B2=0,1,0)</f>
        <v>0</v>
      </c>
      <c r="M2">
        <f>SUM(K:K)</f>
        <v>0</v>
      </c>
      <c r="P2">
        <f>CEILING((E2+1)/100,1)</f>
        <v>1</v>
      </c>
      <c r="Q2">
        <f>IF(E2 = -1, 0,P2)</f>
        <v>1</v>
      </c>
      <c r="R2">
        <f>IF(B1=0,Q2,Q2-1)</f>
        <v>0</v>
      </c>
      <c r="S2">
        <f>IF(E2&lt;0,-R2,0)</f>
        <v>0</v>
      </c>
      <c r="T2">
        <f>IF(I2="L",S2,0)</f>
        <v>0</v>
      </c>
      <c r="U2">
        <f>SUM(T:T)</f>
        <v>0</v>
      </c>
      <c r="W2">
        <f>CEILING((G2)/100,1)</f>
        <v>1</v>
      </c>
      <c r="X2">
        <f>IF(G2 = 1, 0,W2-1)</f>
        <v>0</v>
      </c>
      <c r="Z2">
        <f>IF(G2&gt;100,X2,0)</f>
        <v>0</v>
      </c>
      <c r="AA2">
        <f>IF(I2="R",Z2,0)</f>
        <v>0</v>
      </c>
      <c r="AB2">
        <f>SUM(AA:AA)</f>
        <v>0</v>
      </c>
      <c r="AD2">
        <f>SUM(M2,U2,AB2)</f>
        <v>0</v>
      </c>
    </row>
    <row r="3" spans="1:30">
      <c r="A3" s="1"/>
    </row>
    <row r="4" spans="1:30">
      <c r="A4" s="1"/>
    </row>
    <row r="5" spans="1:30">
      <c r="A5" s="1"/>
    </row>
    <row r="6" spans="1:30">
      <c r="A6" s="1"/>
    </row>
    <row r="7" spans="1:30">
      <c r="A7" s="1"/>
    </row>
    <row r="8" spans="1:30">
      <c r="A8" s="1"/>
    </row>
    <row r="9" spans="1:30">
      <c r="A9" s="1"/>
    </row>
    <row r="10" spans="1:30">
      <c r="A10" s="1"/>
    </row>
    <row r="11" spans="1:30">
      <c r="A11" s="1"/>
    </row>
    <row r="12" spans="1:30">
      <c r="A12" s="1"/>
    </row>
    <row r="13" spans="1:30">
      <c r="A13" s="1"/>
    </row>
    <row r="14" spans="1:30">
      <c r="A14" s="1"/>
    </row>
    <row r="15" spans="1:30">
      <c r="A15" s="1"/>
    </row>
    <row r="16" spans="1:30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PIOTROWSKI</dc:creator>
  <cp:lastModifiedBy>Piotr Piotrowski</cp:lastModifiedBy>
  <dcterms:created xsi:type="dcterms:W3CDTF">2025-12-01T08:50:45Z</dcterms:created>
  <dcterms:modified xsi:type="dcterms:W3CDTF">2025-12-01T18:03:43Z</dcterms:modified>
</cp:coreProperties>
</file>